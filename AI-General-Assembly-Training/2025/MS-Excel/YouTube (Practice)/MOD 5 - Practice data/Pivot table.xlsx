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C:\Users\COMSAVVY\Documents\Project (M)\Data Analytics using Microsoft Excel\Modules\Module 4\Practice data\Practice data\"/>
    </mc:Choice>
  </mc:AlternateContent>
  <xr:revisionPtr revIDLastSave="0" documentId="8_{DC0773E1-E922-41A5-9A6D-ADC183B4AD64}" xr6:coauthVersionLast="47" xr6:coauthVersionMax="47" xr10:uidLastSave="{00000000-0000-0000-0000-000000000000}"/>
  <bookViews>
    <workbookView xWindow="-120" yWindow="-120" windowWidth="20730" windowHeight="11760" activeTab="5" xr2:uid="{23C16768-0A78-4D51-8A06-AFDB65D677E0}"/>
  </bookViews>
  <sheets>
    <sheet name="Sales data" sheetId="1" r:id="rId1"/>
    <sheet name="correlation" sheetId="10" r:id="rId2"/>
    <sheet name="Proportion" sheetId="8" r:id="rId3"/>
    <sheet name="Sales trend" sheetId="11" r:id="rId4"/>
    <sheet name="PIvotChart" sheetId="13" r:id="rId5"/>
    <sheet name="Slicer &amp; PivotChart" sheetId="7" r:id="rId6"/>
    <sheet name="Report" sheetId="4" state="hidden" r:id="rId7"/>
    <sheet name="Dashboard" sheetId="5" state="hidden" r:id="rId8"/>
  </sheets>
  <definedNames>
    <definedName name="Slicer_Region">#N/A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10" l="1"/>
  <c r="C7" i="10"/>
  <c r="C8" i="10"/>
  <c r="C9" i="10"/>
  <c r="C10" i="10"/>
  <c r="C11" i="10"/>
  <c r="C12" i="10"/>
  <c r="C13" i="10"/>
  <c r="C14" i="10"/>
  <c r="C5" i="10"/>
</calcChain>
</file>

<file path=xl/sharedStrings.xml><?xml version="1.0" encoding="utf-8"?>
<sst xmlns="http://schemas.openxmlformats.org/spreadsheetml/2006/main" count="759" uniqueCount="53">
  <si>
    <t>Laptop bag black</t>
  </si>
  <si>
    <t>Aida GmbH</t>
  </si>
  <si>
    <t>Europe</t>
  </si>
  <si>
    <t>Lucas Basics</t>
  </si>
  <si>
    <t>1040DE</t>
  </si>
  <si>
    <t>Smartphone case simple</t>
  </si>
  <si>
    <t>Smartphone case diamond</t>
  </si>
  <si>
    <t>Liebher</t>
  </si>
  <si>
    <t>Laptop bag red</t>
  </si>
  <si>
    <t>Men type T simple black</t>
  </si>
  <si>
    <t>Dellicia</t>
  </si>
  <si>
    <t>America</t>
  </si>
  <si>
    <t>Meta Creations</t>
  </si>
  <si>
    <t>1020US</t>
  </si>
  <si>
    <t>Men type T simple white</t>
  </si>
  <si>
    <t>Men basics</t>
  </si>
  <si>
    <t>Unisex tank top white</t>
  </si>
  <si>
    <t>Men shorts black</t>
  </si>
  <si>
    <t>Men shorts grey</t>
  </si>
  <si>
    <t>Erma</t>
  </si>
  <si>
    <t>Men dress shirt grey</t>
  </si>
  <si>
    <t>Men dress shirt black</t>
  </si>
  <si>
    <t>Women type T simple white</t>
  </si>
  <si>
    <t>Urban Right</t>
  </si>
  <si>
    <t>1010US</t>
  </si>
  <si>
    <t>Women basics</t>
  </si>
  <si>
    <t>Women crop top black</t>
  </si>
  <si>
    <t>Women type T simple black</t>
  </si>
  <si>
    <t>Sales USD</t>
  </si>
  <si>
    <t>Quantity</t>
  </si>
  <si>
    <t>Product Description</t>
  </si>
  <si>
    <t>Product Code</t>
  </si>
  <si>
    <t>Customer Name</t>
  </si>
  <si>
    <t>Customer Code</t>
  </si>
  <si>
    <t>Document Date</t>
  </si>
  <si>
    <t>Sales Document</t>
  </si>
  <si>
    <t>Region</t>
  </si>
  <si>
    <t>Company Name</t>
  </si>
  <si>
    <t>Company</t>
  </si>
  <si>
    <t>Column Labels</t>
  </si>
  <si>
    <t>Grand Total</t>
  </si>
  <si>
    <t>Sum of Quantity</t>
  </si>
  <si>
    <t>Sum of Sales USD</t>
  </si>
  <si>
    <t>Count of Product Description</t>
  </si>
  <si>
    <t xml:space="preserve"> Sales USD</t>
  </si>
  <si>
    <t>Number of transaction</t>
  </si>
  <si>
    <t>Sales</t>
  </si>
  <si>
    <t>Total Sales (USD)</t>
  </si>
  <si>
    <t>Row Labels</t>
  </si>
  <si>
    <t>Sum of Total Sales</t>
  </si>
  <si>
    <t>Data points</t>
  </si>
  <si>
    <t>X^2</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</si>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</sst>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quot;$&quot;#,##0.00"/>
  </numFmts>
  <fonts count="7" x14ac:knownFonts="1">
    <font>
      <sz val="10"/>
      <color rgb="FF000000"/>
      <name val="Arial"/>
      <family val="2"/>
    </font>
    <font>
      <sz val="11"/>
      <color theme="1"/>
      <name val="Calibri"/>
      <family val="2"/>
      <scheme val="minor"/>
    </font>
    <font>
      <sz val="11"/>
      <color theme="1"/>
      <name val="Calibri"/>
      <family val="2"/>
      <scheme val="minor"/>
    </font>
    <font>
      <b/>
      <sz val="15"/>
      <color theme="3"/>
      <name val="Calibri"/>
      <family val="2"/>
      <scheme val="minor"/>
    </font>
    <font>
      <b/>
      <sz val="12"/>
      <color theme="3"/>
      <name val="Calibri"/>
      <family val="2"/>
      <scheme val="minor"/>
    </font>
    <font>
      <sz val="11"/>
      <color theme="1"/>
      <name val="Arial"/>
      <family val="2"/>
    </font>
    <font>
      <sz val="11"/>
      <color theme="0"/>
      <name val="Calibri"/>
      <family val="2"/>
      <scheme val="minor"/>
    </font>
  </fonts>
  <fills count="3">
    <fill>
      <patternFill patternType="none"/>
    </fill>
    <fill>
      <patternFill patternType="gray125"/>
    </fill>
    <fill>
      <patternFill patternType="solid">
        <fgColor theme="4"/>
      </patternFill>
    </fill>
  </fills>
  <borders count="2">
    <border>
      <left/>
      <right/>
      <top/>
      <bottom/>
      <diagonal/>
    </border>
    <border>
      <left/>
      <right/>
      <top/>
      <bottom style="thick">
        <color theme="4"/>
      </bottom>
      <diagonal/>
    </border>
  </borders>
  <cellStyleXfs count="6">
    <xf numFmtId="0" fontId="0" fillId="0" borderId="0"/>
    <xf numFmtId="0" fontId="3" fillId="0" borderId="1" applyNumberFormat="0" applyFill="0" applyAlignment="0" applyProtection="0"/>
    <xf numFmtId="0" fontId="5" fillId="0" borderId="0"/>
    <xf numFmtId="0" fontId="2" fillId="0" borderId="0"/>
    <xf numFmtId="0" fontId="1" fillId="0" borderId="0"/>
    <xf numFmtId="0" fontId="6" fillId="2" borderId="0" applyNumberFormat="0" applyBorder="0" applyAlignment="0" applyProtection="0"/>
  </cellStyleXfs>
  <cellXfs count="14">
    <xf numFmtId="0" fontId="0" fillId="0" borderId="0" xfId="0"/>
    <xf numFmtId="14" fontId="0" fillId="0" borderId="0" xfId="0" applyNumberFormat="1"/>
    <xf numFmtId="0" fontId="4" fillId="0" borderId="1" xfId="1" applyFont="1"/>
    <xf numFmtId="0" fontId="4" fillId="0" borderId="1" xfId="1" applyFont="1" applyAlignment="1">
      <alignment wrapText="1"/>
    </xf>
    <xf numFmtId="0" fontId="0" fillId="0" borderId="0" xfId="0" pivotButton="1"/>
    <xf numFmtId="0" fontId="0" fillId="0" borderId="0" xfId="0" applyAlignment="1">
      <alignment horizontal="left"/>
    </xf>
    <xf numFmtId="0" fontId="0" fillId="0" borderId="0" xfId="0" applyNumberFormat="1"/>
    <xf numFmtId="43" fontId="0" fillId="0" borderId="0" xfId="0" applyNumberFormat="1"/>
    <xf numFmtId="164" fontId="0" fillId="0" borderId="0" xfId="0" applyNumberFormat="1" applyAlignment="1">
      <alignment vertical="center"/>
    </xf>
    <xf numFmtId="165" fontId="0" fillId="0" borderId="0" xfId="0" applyNumberFormat="1"/>
    <xf numFmtId="0" fontId="0" fillId="0" borderId="0" xfId="0" applyAlignment="1">
      <alignment horizontal="center"/>
    </xf>
    <xf numFmtId="0" fontId="6" fillId="2" borderId="0" xfId="5"/>
    <xf numFmtId="14" fontId="6" fillId="2" borderId="0" xfId="5" applyNumberFormat="1"/>
    <xf numFmtId="0" fontId="0" fillId="0" borderId="0" xfId="0" applyAlignment="1">
      <alignment horizontal="left" indent="1"/>
    </xf>
  </cellXfs>
  <cellStyles count="6">
    <cellStyle name="Accent1" xfId="5" builtinId="29"/>
    <cellStyle name="Heading 1" xfId="1" builtinId="16"/>
    <cellStyle name="Normal" xfId="0" builtinId="0"/>
    <cellStyle name="Normal 2" xfId="2" xr:uid="{595F60D7-53FA-4E6C-93AB-8D5D9ACD2949}"/>
    <cellStyle name="Normal 3" xfId="3" xr:uid="{179003BB-36A0-4547-8655-D3A15E80E28C}"/>
    <cellStyle name="Normal 5" xfId="4" xr:uid="{B6D33002-787D-4A0B-9764-8B3AF921EFEC}"/>
  </cellStyles>
  <dxfs count="18">
    <dxf>
      <numFmt numFmtId="165" formatCode="&quot;$&quot;#,##0.00"/>
    </dxf>
    <dxf>
      <numFmt numFmtId="165" formatCode="&quot;$&quot;#,##0.00"/>
    </dxf>
    <dxf>
      <alignment horizontal="general"/>
    </dxf>
    <dxf>
      <alignment vertical="center"/>
    </dxf>
    <dxf>
      <numFmt numFmtId="164" formatCode="_(* #,##0_);_(* \(#,##0\);_(* &quot;-&quot;??_);_(@_)"/>
    </dxf>
    <dxf>
      <alignment horizontal="general"/>
    </dxf>
    <dxf>
      <numFmt numFmtId="35" formatCode="_(* #,##0.00_);_(* \(#,##0.00\);_(* &quot;-&quot;??_);_(@_)"/>
    </dxf>
    <dxf>
      <alignment horizontal="center"/>
    </dxf>
    <dxf>
      <numFmt numFmtId="35" formatCode="_(* #,##0.00_);_(* \(#,##0.00\);_(* &quot;-&quot;??_);_(@_)"/>
    </dxf>
    <dxf>
      <numFmt numFmtId="19" formatCode="m/d/yyyy"/>
    </dxf>
    <dxf>
      <border outline="0">
        <bottom style="medium">
          <color rgb="FF2981B9"/>
        </bottom>
      </border>
    </dxf>
    <dxf>
      <font>
        <strike val="0"/>
        <outline val="0"/>
        <shadow val="0"/>
        <u val="none"/>
        <vertAlign val="baseline"/>
        <sz val="12"/>
        <color theme="3"/>
        <name val="Calibri"/>
        <family val="2"/>
        <scheme val="minor"/>
      </font>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quot;$&quot;#,##0.00"/>
    </dxf>
    <dxf>
      <numFmt numFmtId="165"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table.xlsx]Report!PivotTable16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description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Report!$G$19</c:f>
              <c:strCache>
                <c:ptCount val="1"/>
                <c:pt idx="0">
                  <c:v>Total</c:v>
                </c:pt>
              </c:strCache>
            </c:strRef>
          </c:tx>
          <c:spPr>
            <a:solidFill>
              <a:schemeClr val="accent1"/>
            </a:solidFill>
            <a:ln>
              <a:noFill/>
            </a:ln>
            <a:effectLst/>
          </c:spPr>
          <c:invertIfNegative val="0"/>
          <c:cat>
            <c:strRef>
              <c:f>Report!$F$20:$F$33</c:f>
              <c:strCache>
                <c:ptCount val="13"/>
                <c:pt idx="0">
                  <c:v>Laptop bag black</c:v>
                </c:pt>
                <c:pt idx="1">
                  <c:v>Men basics</c:v>
                </c:pt>
                <c:pt idx="2">
                  <c:v>Men dress shirt black</c:v>
                </c:pt>
                <c:pt idx="3">
                  <c:v>Men dress shirt grey</c:v>
                </c:pt>
                <c:pt idx="4">
                  <c:v>Men shorts black</c:v>
                </c:pt>
                <c:pt idx="5">
                  <c:v>Men shorts grey</c:v>
                </c:pt>
                <c:pt idx="6">
                  <c:v>Men type T simple black</c:v>
                </c:pt>
                <c:pt idx="7">
                  <c:v>Men type T simple white</c:v>
                </c:pt>
                <c:pt idx="8">
                  <c:v>Unisex tank top white</c:v>
                </c:pt>
                <c:pt idx="9">
                  <c:v>Women basics</c:v>
                </c:pt>
                <c:pt idx="10">
                  <c:v>Women crop top black</c:v>
                </c:pt>
                <c:pt idx="11">
                  <c:v>Women type T simple black</c:v>
                </c:pt>
                <c:pt idx="12">
                  <c:v>Women type T simple white</c:v>
                </c:pt>
              </c:strCache>
            </c:strRef>
          </c:cat>
          <c:val>
            <c:numRef>
              <c:f>Report!$G$20:$G$33</c:f>
              <c:numCache>
                <c:formatCode>General</c:formatCode>
                <c:ptCount val="13"/>
                <c:pt idx="0">
                  <c:v>3</c:v>
                </c:pt>
                <c:pt idx="1">
                  <c:v>3</c:v>
                </c:pt>
                <c:pt idx="2">
                  <c:v>1</c:v>
                </c:pt>
                <c:pt idx="3">
                  <c:v>1</c:v>
                </c:pt>
                <c:pt idx="4">
                  <c:v>3</c:v>
                </c:pt>
                <c:pt idx="5">
                  <c:v>2</c:v>
                </c:pt>
                <c:pt idx="6">
                  <c:v>3</c:v>
                </c:pt>
                <c:pt idx="7">
                  <c:v>4</c:v>
                </c:pt>
                <c:pt idx="8">
                  <c:v>1</c:v>
                </c:pt>
                <c:pt idx="9">
                  <c:v>4</c:v>
                </c:pt>
                <c:pt idx="10">
                  <c:v>10</c:v>
                </c:pt>
                <c:pt idx="11">
                  <c:v>16</c:v>
                </c:pt>
                <c:pt idx="12">
                  <c:v>12</c:v>
                </c:pt>
              </c:numCache>
            </c:numRef>
          </c:val>
          <c:extLst>
            <c:ext xmlns:c16="http://schemas.microsoft.com/office/drawing/2014/chart" uri="{C3380CC4-5D6E-409C-BE32-E72D297353CC}">
              <c16:uniqueId val="{00000003-FB8E-4830-8133-7120E2239064}"/>
            </c:ext>
          </c:extLst>
        </c:ser>
        <c:dLbls>
          <c:showLegendKey val="0"/>
          <c:showVal val="0"/>
          <c:showCatName val="0"/>
          <c:showSerName val="0"/>
          <c:showPercent val="0"/>
          <c:showBubbleSize val="0"/>
        </c:dLbls>
        <c:gapWidth val="182"/>
        <c:axId val="337411808"/>
        <c:axId val="337396832"/>
      </c:barChart>
      <c:catAx>
        <c:axId val="337411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396832"/>
        <c:crosses val="autoZero"/>
        <c:auto val="1"/>
        <c:lblAlgn val="ctr"/>
        <c:lblOffset val="100"/>
        <c:noMultiLvlLbl val="0"/>
      </c:catAx>
      <c:valAx>
        <c:axId val="337396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411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table.xlsx]Report!PivotTable19</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882499364998731"/>
              <c:y val="-5.457521672125252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AB0C6DF5-B23A-4971-8D8E-D1BBED5B3489}" type="VALUE">
                  <a:rPr lang="en-US"/>
                  <a:pPr>
                    <a:defRPr/>
                  </a:pPr>
                  <a:t>[VALUE]</a:t>
                </a:fld>
                <a:r>
                  <a:rPr lang="en-US" baseline="0"/>
                  <a:t>               </a:t>
                </a:r>
                <a:fld id="{30914400-08CB-4C7C-9A85-20EE0AF747BE}"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7916010498687665"/>
                  <c:h val="0.23388922402046194"/>
                </c:manualLayout>
              </c15:layout>
              <c15:dlblFieldTable/>
              <c15:showDataLabelsRange val="0"/>
            </c:ext>
          </c:extLst>
        </c:dLbl>
      </c:pivotFmt>
      <c:pivotFmt>
        <c:idx val="6"/>
        <c:spPr>
          <a:solidFill>
            <a:schemeClr val="accent1"/>
          </a:solidFill>
          <a:ln w="19050">
            <a:solidFill>
              <a:schemeClr val="lt1"/>
            </a:solidFill>
          </a:ln>
          <a:effectLst/>
        </c:spPr>
        <c:dLbl>
          <c:idx val="0"/>
          <c:layout>
            <c:manualLayout>
              <c:x val="-0.16088798577597158"/>
              <c:y val="-0.1271241788608141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EC4D7DC-F5BB-42FD-AA02-DA5B0EC974D6}" type="VALUE">
                  <a:rPr lang="en-US"/>
                  <a:pPr>
                    <a:defRPr/>
                  </a:pPr>
                  <a:t>[VALUE]</a:t>
                </a:fld>
                <a:r>
                  <a:rPr lang="en-US" baseline="0"/>
                  <a:t> </a:t>
                </a:r>
                <a:fld id="{5FE7E94D-61EC-4670-AD0E-17145E09234A}"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887281347896029"/>
                  <c:h val="0.19598066667512393"/>
                </c:manualLayout>
              </c15:layout>
              <c15:dlblFieldTable/>
              <c15:showDataLabelsRange val="0"/>
            </c:ext>
          </c:extLst>
        </c:dLbl>
      </c:pivotFmt>
    </c:pivotFmts>
    <c:plotArea>
      <c:layout/>
      <c:doughnutChart>
        <c:varyColors val="1"/>
        <c:ser>
          <c:idx val="0"/>
          <c:order val="0"/>
          <c:tx>
            <c:strRef>
              <c:f>Report!$F$36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DC-4B79-8567-7C73F2CFF3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DC-4B79-8567-7C73F2CFF3A3}"/>
              </c:ext>
            </c:extLst>
          </c:dPt>
          <c:dLbls>
            <c:dLbl>
              <c:idx val="0"/>
              <c:layout>
                <c:manualLayout>
                  <c:x val="0.12882499364998731"/>
                  <c:y val="-5.457521672125252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AB0C6DF5-B23A-4971-8D8E-D1BBED5B3489}" type="VALUE">
                      <a:rPr lang="en-US"/>
                      <a:pPr>
                        <a:defRPr/>
                      </a:pPr>
                      <a:t>[VALUE]</a:t>
                    </a:fld>
                    <a:r>
                      <a:rPr lang="en-US" baseline="0"/>
                      <a:t>               </a:t>
                    </a:r>
                    <a:fld id="{30914400-08CB-4C7C-9A85-20EE0AF747BE}"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7916010498687665"/>
                      <c:h val="0.23388922402046194"/>
                    </c:manualLayout>
                  </c15:layout>
                  <c15:dlblFieldTable/>
                  <c15:showDataLabelsRange val="0"/>
                </c:ext>
                <c:ext xmlns:c16="http://schemas.microsoft.com/office/drawing/2014/chart" uri="{C3380CC4-5D6E-409C-BE32-E72D297353CC}">
                  <c16:uniqueId val="{00000001-4CDC-4B79-8567-7C73F2CFF3A3}"/>
                </c:ext>
              </c:extLst>
            </c:dLbl>
            <c:dLbl>
              <c:idx val="1"/>
              <c:layout>
                <c:manualLayout>
                  <c:x val="-0.16088798577597158"/>
                  <c:y val="-0.1271241788608141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EC4D7DC-F5BB-42FD-AA02-DA5B0EC974D6}" type="VALUE">
                      <a:rPr lang="en-US"/>
                      <a:pPr>
                        <a:defRPr/>
                      </a:pPr>
                      <a:t>[VALUE]</a:t>
                    </a:fld>
                    <a:r>
                      <a:rPr lang="en-US" baseline="0"/>
                      <a:t> </a:t>
                    </a:r>
                    <a:fld id="{5FE7E94D-61EC-4670-AD0E-17145E09234A}"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887281347896029"/>
                      <c:h val="0.19598066667512393"/>
                    </c:manualLayout>
                  </c15:layout>
                  <c15:dlblFieldTable/>
                  <c15:showDataLabelsRange val="0"/>
                </c:ext>
                <c:ext xmlns:c16="http://schemas.microsoft.com/office/drawing/2014/chart" uri="{C3380CC4-5D6E-409C-BE32-E72D297353CC}">
                  <c16:uniqueId val="{00000003-4CDC-4B79-8567-7C73F2CFF3A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Report!$E$37:$E$39</c:f>
              <c:strCache>
                <c:ptCount val="2"/>
                <c:pt idx="0">
                  <c:v>Dellicia</c:v>
                </c:pt>
                <c:pt idx="1">
                  <c:v>Erma</c:v>
                </c:pt>
              </c:strCache>
            </c:strRef>
          </c:cat>
          <c:val>
            <c:numRef>
              <c:f>Report!$F$37:$F$39</c:f>
              <c:numCache>
                <c:formatCode>General</c:formatCode>
                <c:ptCount val="2"/>
                <c:pt idx="0">
                  <c:v>42500</c:v>
                </c:pt>
                <c:pt idx="1">
                  <c:v>43240</c:v>
                </c:pt>
              </c:numCache>
            </c:numRef>
          </c:val>
          <c:extLst>
            <c:ext xmlns:c16="http://schemas.microsoft.com/office/drawing/2014/chart" uri="{C3380CC4-5D6E-409C-BE32-E72D297353CC}">
              <c16:uniqueId val="{00000004-4CDC-4B79-8567-7C73F2CFF3A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table.xlsx]Report!PivotTable20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quantity by product code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Report!$I$38</c:f>
              <c:strCache>
                <c:ptCount val="1"/>
                <c:pt idx="0">
                  <c:v>Total</c:v>
                </c:pt>
              </c:strCache>
            </c:strRef>
          </c:tx>
          <c:spPr>
            <a:solidFill>
              <a:schemeClr val="accent1"/>
            </a:solidFill>
            <a:ln>
              <a:noFill/>
            </a:ln>
            <a:effectLst/>
          </c:spPr>
          <c:invertIfNegative val="0"/>
          <c:cat>
            <c:strRef>
              <c:f>Report!$H$39:$H$52</c:f>
              <c:strCache>
                <c:ptCount val="13"/>
                <c:pt idx="0">
                  <c:v>114</c:v>
                </c:pt>
                <c:pt idx="1">
                  <c:v>116</c:v>
                </c:pt>
                <c:pt idx="2">
                  <c:v>113</c:v>
                </c:pt>
                <c:pt idx="3">
                  <c:v>108</c:v>
                </c:pt>
                <c:pt idx="4">
                  <c:v>102</c:v>
                </c:pt>
                <c:pt idx="5">
                  <c:v>106</c:v>
                </c:pt>
                <c:pt idx="6">
                  <c:v>117</c:v>
                </c:pt>
                <c:pt idx="7">
                  <c:v>118</c:v>
                </c:pt>
                <c:pt idx="8">
                  <c:v>101</c:v>
                </c:pt>
                <c:pt idx="9">
                  <c:v>107</c:v>
                </c:pt>
                <c:pt idx="10">
                  <c:v>105</c:v>
                </c:pt>
                <c:pt idx="11">
                  <c:v>103</c:v>
                </c:pt>
                <c:pt idx="12">
                  <c:v>104</c:v>
                </c:pt>
              </c:strCache>
            </c:strRef>
          </c:cat>
          <c:val>
            <c:numRef>
              <c:f>Report!$I$39:$I$52</c:f>
              <c:numCache>
                <c:formatCode>General</c:formatCode>
                <c:ptCount val="13"/>
                <c:pt idx="0">
                  <c:v>50</c:v>
                </c:pt>
                <c:pt idx="1">
                  <c:v>60</c:v>
                </c:pt>
                <c:pt idx="2">
                  <c:v>100</c:v>
                </c:pt>
                <c:pt idx="3">
                  <c:v>110</c:v>
                </c:pt>
                <c:pt idx="4">
                  <c:v>110</c:v>
                </c:pt>
                <c:pt idx="5">
                  <c:v>150</c:v>
                </c:pt>
                <c:pt idx="6">
                  <c:v>160</c:v>
                </c:pt>
                <c:pt idx="7">
                  <c:v>210</c:v>
                </c:pt>
                <c:pt idx="8">
                  <c:v>310</c:v>
                </c:pt>
                <c:pt idx="9">
                  <c:v>640</c:v>
                </c:pt>
                <c:pt idx="10">
                  <c:v>1430</c:v>
                </c:pt>
                <c:pt idx="11">
                  <c:v>1720</c:v>
                </c:pt>
                <c:pt idx="12">
                  <c:v>2330</c:v>
                </c:pt>
              </c:numCache>
            </c:numRef>
          </c:val>
          <c:extLst>
            <c:ext xmlns:c16="http://schemas.microsoft.com/office/drawing/2014/chart" uri="{C3380CC4-5D6E-409C-BE32-E72D297353CC}">
              <c16:uniqueId val="{00000000-565D-41E0-A19C-73380A2D7910}"/>
            </c:ext>
          </c:extLst>
        </c:ser>
        <c:dLbls>
          <c:showLegendKey val="0"/>
          <c:showVal val="0"/>
          <c:showCatName val="0"/>
          <c:showSerName val="0"/>
          <c:showPercent val="0"/>
          <c:showBubbleSize val="0"/>
        </c:dLbls>
        <c:gapWidth val="219"/>
        <c:overlap val="-27"/>
        <c:axId val="387117104"/>
        <c:axId val="387133328"/>
      </c:barChart>
      <c:catAx>
        <c:axId val="38711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133328"/>
        <c:crosses val="autoZero"/>
        <c:auto val="1"/>
        <c:lblAlgn val="ctr"/>
        <c:lblOffset val="100"/>
        <c:noMultiLvlLbl val="0"/>
      </c:catAx>
      <c:valAx>
        <c:axId val="387133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117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123825</xdr:rowOff>
    </xdr:from>
    <xdr:to>
      <xdr:col>3</xdr:col>
      <xdr:colOff>0</xdr:colOff>
      <xdr:row>5</xdr:row>
      <xdr:rowOff>28575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2F53891B-0B7F-403B-A34D-471AFF96303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23825"/>
              <a:ext cx="1828800"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571500</xdr:colOff>
      <xdr:row>0</xdr:row>
      <xdr:rowOff>38100</xdr:rowOff>
    </xdr:from>
    <xdr:to>
      <xdr:col>12</xdr:col>
      <xdr:colOff>152400</xdr:colOff>
      <xdr:row>19</xdr:row>
      <xdr:rowOff>66675</xdr:rowOff>
    </xdr:to>
    <xdr:graphicFrame macro="">
      <xdr:nvGraphicFramePr>
        <xdr:cNvPr id="6" name="Chart 5">
          <a:extLst>
            <a:ext uri="{FF2B5EF4-FFF2-40B4-BE49-F238E27FC236}">
              <a16:creationId xmlns:a16="http://schemas.microsoft.com/office/drawing/2014/main" id="{3DBC6D91-4628-4CE8-9769-672E88FAEC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xdr:row>
      <xdr:rowOff>0</xdr:rowOff>
    </xdr:from>
    <xdr:to>
      <xdr:col>5</xdr:col>
      <xdr:colOff>514350</xdr:colOff>
      <xdr:row>20</xdr:row>
      <xdr:rowOff>19051</xdr:rowOff>
    </xdr:to>
    <xdr:graphicFrame macro="">
      <xdr:nvGraphicFramePr>
        <xdr:cNvPr id="7" name="Chart 6">
          <a:extLst>
            <a:ext uri="{FF2B5EF4-FFF2-40B4-BE49-F238E27FC236}">
              <a16:creationId xmlns:a16="http://schemas.microsoft.com/office/drawing/2014/main" id="{55B079B4-CAFE-4C00-BEEF-D383F72169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209550</xdr:colOff>
      <xdr:row>0</xdr:row>
      <xdr:rowOff>28575</xdr:rowOff>
    </xdr:from>
    <xdr:to>
      <xdr:col>19</xdr:col>
      <xdr:colOff>209550</xdr:colOff>
      <xdr:row>15</xdr:row>
      <xdr:rowOff>152400</xdr:rowOff>
    </xdr:to>
    <xdr:graphicFrame macro="">
      <xdr:nvGraphicFramePr>
        <xdr:cNvPr id="8" name="Chart 7">
          <a:extLst>
            <a:ext uri="{FF2B5EF4-FFF2-40B4-BE49-F238E27FC236}">
              <a16:creationId xmlns:a16="http://schemas.microsoft.com/office/drawing/2014/main" id="{E2610523-D71B-49BF-BE96-8E1C8D123D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GUNDEPO EZEKIEL .A" refreshedDate="44449.645480324078" createdVersion="7" refreshedVersion="7" minRefreshableVersion="3" recordCount="105" xr:uid="{C833071E-980E-40D7-9058-D46D163426B2}">
  <cacheSource type="worksheet">
    <worksheetSource name="TSales"/>
  </cacheSource>
  <cacheFields count="12">
    <cacheField name="Company" numFmtId="0">
      <sharedItems count="3">
        <s v="1010US"/>
        <s v="1020US"/>
        <s v="1040DE"/>
      </sharedItems>
    </cacheField>
    <cacheField name="Company Name" numFmtId="0">
      <sharedItems count="3">
        <s v="Urban Right"/>
        <s v="Meta Creations"/>
        <s v="Lucas Basics"/>
      </sharedItems>
    </cacheField>
    <cacheField name="Region" numFmtId="0">
      <sharedItems count="2">
        <s v="America"/>
        <s v="Europe"/>
      </sharedItems>
    </cacheField>
    <cacheField name="Sales Document" numFmtId="0">
      <sharedItems containsSemiMixedTypes="0" containsString="0" containsNumber="1" containsInteger="1" minValue="24030" maxValue="68116"/>
    </cacheField>
    <cacheField name="Document Date" numFmtId="14">
      <sharedItems containsSemiMixedTypes="0" containsNonDate="0" containsDate="1" containsString="0" minDate="2020-06-01T00:00:00" maxDate="2020-07-01T00:00:00"/>
    </cacheField>
    <cacheField name="Customer Code" numFmtId="0">
      <sharedItems containsSemiMixedTypes="0" containsString="0" containsNumber="1" containsInteger="1" minValue="8010" maxValue="8060" count="4">
        <n v="8010"/>
        <n v="8020"/>
        <n v="8060"/>
        <n v="8050"/>
      </sharedItems>
    </cacheField>
    <cacheField name="Customer Name" numFmtId="0">
      <sharedItems count="4">
        <s v="Dellicia"/>
        <s v="Erma"/>
        <s v="Liebher"/>
        <s v="Aida GmbH"/>
      </sharedItems>
    </cacheField>
    <cacheField name="Product Code" numFmtId="0">
      <sharedItems containsSemiMixedTypes="0" containsString="0" containsNumber="1" containsInteger="1" minValue="101" maxValue="118" count="16">
        <n v="103"/>
        <n v="104"/>
        <n v="105"/>
        <n v="107"/>
        <n v="101"/>
        <n v="102"/>
        <n v="106"/>
        <n v="108"/>
        <n v="113"/>
        <n v="114"/>
        <n v="117"/>
        <n v="118"/>
        <n v="116"/>
        <n v="109"/>
        <n v="110"/>
        <n v="111"/>
      </sharedItems>
    </cacheField>
    <cacheField name="Product Description" numFmtId="0">
      <sharedItems count="16">
        <s v="Women type T simple white"/>
        <s v="Women type T simple black"/>
        <s v="Women crop top black"/>
        <s v="Women basics"/>
        <s v="Men type T simple white"/>
        <s v="Men type T simple black"/>
        <s v="Men basics"/>
        <s v="Laptop bag black"/>
        <s v="Men dress shirt black"/>
        <s v="Men dress shirt grey"/>
        <s v="Men shorts grey"/>
        <s v="Men shorts black"/>
        <s v="Unisex tank top white"/>
        <s v="Laptop bag red"/>
        <s v="Smartphone case diamond"/>
        <s v="Smartphone case simple"/>
      </sharedItems>
    </cacheField>
    <cacheField name="Quantity" numFmtId="0">
      <sharedItems containsSemiMixedTypes="0" containsString="0" containsNumber="1" containsInteger="1" minValue="10" maxValue="200"/>
    </cacheField>
    <cacheField name="Sales USD" numFmtId="0">
      <sharedItems containsSemiMixedTypes="0" containsString="0" containsNumber="1" containsInteger="1" minValue="100" maxValue="4930"/>
    </cacheField>
    <cacheField name="Total Sales" numFmtId="0" formula="'Sales USD'*Quantity" databaseField="0"/>
  </cacheFields>
  <extLst>
    <ext xmlns:x14="http://schemas.microsoft.com/office/spreadsheetml/2009/9/main" uri="{725AE2AE-9491-48be-B2B4-4EB974FC3084}">
      <x14:pivotCacheDefinition pivotCacheId="15333994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SAVVY" refreshedDate="45770.631988541667" createdVersion="7" refreshedVersion="7" minRefreshableVersion="3" recordCount="105" xr:uid="{6A6F7E5C-0135-4737-9E23-E667826D8217}">
  <cacheSource type="worksheet">
    <worksheetSource name="TSales"/>
  </cacheSource>
  <cacheFields count="11">
    <cacheField name="Company" numFmtId="0">
      <sharedItems count="3">
        <s v="1010US"/>
        <s v="1020US"/>
        <s v="1040DE"/>
      </sharedItems>
    </cacheField>
    <cacheField name="Company Name" numFmtId="0">
      <sharedItems count="3">
        <s v="Urban Right"/>
        <s v="Meta Creations"/>
        <s v="Lucas Basics"/>
      </sharedItems>
    </cacheField>
    <cacheField name="Region" numFmtId="0">
      <sharedItems count="2">
        <s v="America"/>
        <s v="Europe"/>
      </sharedItems>
    </cacheField>
    <cacheField name="Sales Document" numFmtId="0">
      <sharedItems containsSemiMixedTypes="0" containsString="0" containsNumber="1" containsInteger="1" minValue="24030" maxValue="68116"/>
    </cacheField>
    <cacheField name="Document Date" numFmtId="14">
      <sharedItems containsSemiMixedTypes="0" containsNonDate="0" containsDate="1" containsString="0" minDate="2020-06-01T00:00:00" maxDate="2020-07-01T00:00:00"/>
    </cacheField>
    <cacheField name="Customer Code" numFmtId="0">
      <sharedItems containsSemiMixedTypes="0" containsString="0" containsNumber="1" containsInteger="1" minValue="8010" maxValue="8060"/>
    </cacheField>
    <cacheField name="Customer Name" numFmtId="0">
      <sharedItems/>
    </cacheField>
    <cacheField name="Product Code" numFmtId="0">
      <sharedItems containsSemiMixedTypes="0" containsString="0" containsNumber="1" containsInteger="1" minValue="101" maxValue="118"/>
    </cacheField>
    <cacheField name="Product Description" numFmtId="0">
      <sharedItems/>
    </cacheField>
    <cacheField name="Quantity" numFmtId="0">
      <sharedItems containsSemiMixedTypes="0" containsString="0" containsNumber="1" containsInteger="1" minValue="10" maxValue="200"/>
    </cacheField>
    <cacheField name="Sales USD" numFmtId="0">
      <sharedItems containsSemiMixedTypes="0" containsString="0" containsNumber="1" containsInteger="1" minValue="100" maxValue="493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
  <r>
    <x v="0"/>
    <x v="0"/>
    <x v="0"/>
    <n v="66030"/>
    <d v="2020-06-01T00:00:00"/>
    <x v="0"/>
    <x v="0"/>
    <x v="0"/>
    <x v="0"/>
    <n v="120"/>
    <n v="1440"/>
  </r>
  <r>
    <x v="0"/>
    <x v="0"/>
    <x v="0"/>
    <n v="66030"/>
    <d v="2020-06-02T00:00:00"/>
    <x v="0"/>
    <x v="0"/>
    <x v="1"/>
    <x v="1"/>
    <n v="150"/>
    <n v="1800"/>
  </r>
  <r>
    <x v="0"/>
    <x v="0"/>
    <x v="0"/>
    <n v="66032"/>
    <d v="2020-06-01T00:00:00"/>
    <x v="0"/>
    <x v="0"/>
    <x v="0"/>
    <x v="0"/>
    <n v="170"/>
    <n v="2040"/>
  </r>
  <r>
    <x v="0"/>
    <x v="0"/>
    <x v="0"/>
    <n v="66032"/>
    <d v="2020-06-02T00:00:00"/>
    <x v="0"/>
    <x v="0"/>
    <x v="1"/>
    <x v="1"/>
    <n v="140"/>
    <n v="1680"/>
  </r>
  <r>
    <x v="0"/>
    <x v="0"/>
    <x v="0"/>
    <n v="66031"/>
    <d v="2020-06-01T00:00:00"/>
    <x v="1"/>
    <x v="1"/>
    <x v="0"/>
    <x v="0"/>
    <n v="140"/>
    <n v="1680"/>
  </r>
  <r>
    <x v="0"/>
    <x v="0"/>
    <x v="0"/>
    <n v="66031"/>
    <d v="2020-06-02T00:00:00"/>
    <x v="1"/>
    <x v="1"/>
    <x v="1"/>
    <x v="1"/>
    <n v="150"/>
    <n v="1800"/>
  </r>
  <r>
    <x v="0"/>
    <x v="0"/>
    <x v="0"/>
    <n v="66031"/>
    <d v="2020-06-07T00:00:00"/>
    <x v="1"/>
    <x v="1"/>
    <x v="2"/>
    <x v="2"/>
    <n v="100"/>
    <n v="1000"/>
  </r>
  <r>
    <x v="0"/>
    <x v="0"/>
    <x v="0"/>
    <n v="68112"/>
    <d v="2020-06-08T00:00:00"/>
    <x v="0"/>
    <x v="0"/>
    <x v="1"/>
    <x v="1"/>
    <n v="180"/>
    <n v="2160"/>
  </r>
  <r>
    <x v="0"/>
    <x v="0"/>
    <x v="0"/>
    <n v="68112"/>
    <d v="2020-06-09T00:00:00"/>
    <x v="0"/>
    <x v="0"/>
    <x v="2"/>
    <x v="2"/>
    <n v="120"/>
    <n v="1200"/>
  </r>
  <r>
    <x v="0"/>
    <x v="0"/>
    <x v="0"/>
    <n v="68116"/>
    <d v="2020-06-10T00:00:00"/>
    <x v="1"/>
    <x v="1"/>
    <x v="1"/>
    <x v="1"/>
    <n v="150"/>
    <n v="1800"/>
  </r>
  <r>
    <x v="0"/>
    <x v="0"/>
    <x v="0"/>
    <n v="68116"/>
    <d v="2020-06-11T00:00:00"/>
    <x v="1"/>
    <x v="1"/>
    <x v="2"/>
    <x v="2"/>
    <n v="190"/>
    <n v="1900"/>
  </r>
  <r>
    <x v="0"/>
    <x v="0"/>
    <x v="0"/>
    <n v="68116"/>
    <d v="2020-06-12T00:00:00"/>
    <x v="1"/>
    <x v="1"/>
    <x v="3"/>
    <x v="3"/>
    <n v="160"/>
    <n v="800"/>
  </r>
  <r>
    <x v="0"/>
    <x v="0"/>
    <x v="0"/>
    <n v="68116"/>
    <d v="2020-06-13T00:00:00"/>
    <x v="0"/>
    <x v="0"/>
    <x v="1"/>
    <x v="1"/>
    <n v="160"/>
    <n v="1920"/>
  </r>
  <r>
    <x v="0"/>
    <x v="0"/>
    <x v="0"/>
    <n v="68116"/>
    <d v="2020-06-14T00:00:00"/>
    <x v="0"/>
    <x v="0"/>
    <x v="2"/>
    <x v="2"/>
    <n v="190"/>
    <n v="1900"/>
  </r>
  <r>
    <x v="0"/>
    <x v="0"/>
    <x v="0"/>
    <n v="65662"/>
    <d v="2020-06-15T00:00:00"/>
    <x v="1"/>
    <x v="1"/>
    <x v="0"/>
    <x v="0"/>
    <n v="120"/>
    <n v="1440"/>
  </r>
  <r>
    <x v="0"/>
    <x v="0"/>
    <x v="0"/>
    <n v="65662"/>
    <d v="2020-06-16T00:00:00"/>
    <x v="1"/>
    <x v="1"/>
    <x v="1"/>
    <x v="1"/>
    <n v="110"/>
    <n v="1320"/>
  </r>
  <r>
    <x v="0"/>
    <x v="0"/>
    <x v="0"/>
    <n v="65666"/>
    <d v="2020-06-02T00:00:00"/>
    <x v="0"/>
    <x v="0"/>
    <x v="0"/>
    <x v="0"/>
    <n v="120"/>
    <n v="1440"/>
  </r>
  <r>
    <x v="0"/>
    <x v="0"/>
    <x v="0"/>
    <n v="65666"/>
    <d v="2020-06-03T00:00:00"/>
    <x v="0"/>
    <x v="0"/>
    <x v="1"/>
    <x v="1"/>
    <n v="140"/>
    <n v="1680"/>
  </r>
  <r>
    <x v="0"/>
    <x v="0"/>
    <x v="0"/>
    <n v="65666"/>
    <d v="2020-06-04T00:00:00"/>
    <x v="0"/>
    <x v="0"/>
    <x v="2"/>
    <x v="2"/>
    <n v="160"/>
    <n v="1600"/>
  </r>
  <r>
    <x v="0"/>
    <x v="0"/>
    <x v="0"/>
    <n v="65666"/>
    <d v="2020-06-05T00:00:00"/>
    <x v="1"/>
    <x v="1"/>
    <x v="3"/>
    <x v="3"/>
    <n v="120"/>
    <n v="600"/>
  </r>
  <r>
    <x v="0"/>
    <x v="0"/>
    <x v="0"/>
    <n v="65666"/>
    <d v="2020-06-06T00:00:00"/>
    <x v="1"/>
    <x v="1"/>
    <x v="0"/>
    <x v="0"/>
    <n v="200"/>
    <n v="2400"/>
  </r>
  <r>
    <x v="0"/>
    <x v="0"/>
    <x v="0"/>
    <n v="66015"/>
    <d v="2020-06-10T00:00:00"/>
    <x v="0"/>
    <x v="0"/>
    <x v="0"/>
    <x v="0"/>
    <n v="140"/>
    <n v="1680"/>
  </r>
  <r>
    <x v="0"/>
    <x v="0"/>
    <x v="0"/>
    <n v="66015"/>
    <d v="2020-06-11T00:00:00"/>
    <x v="0"/>
    <x v="0"/>
    <x v="1"/>
    <x v="1"/>
    <n v="140"/>
    <n v="1680"/>
  </r>
  <r>
    <x v="0"/>
    <x v="0"/>
    <x v="0"/>
    <n v="66017"/>
    <d v="2020-06-12T00:00:00"/>
    <x v="0"/>
    <x v="0"/>
    <x v="0"/>
    <x v="0"/>
    <n v="140"/>
    <n v="1680"/>
  </r>
  <r>
    <x v="0"/>
    <x v="0"/>
    <x v="0"/>
    <n v="66017"/>
    <d v="2020-06-13T00:00:00"/>
    <x v="0"/>
    <x v="0"/>
    <x v="1"/>
    <x v="1"/>
    <n v="140"/>
    <n v="1680"/>
  </r>
  <r>
    <x v="0"/>
    <x v="0"/>
    <x v="0"/>
    <n v="66016"/>
    <d v="2020-06-14T00:00:00"/>
    <x v="1"/>
    <x v="1"/>
    <x v="0"/>
    <x v="0"/>
    <n v="120"/>
    <n v="1440"/>
  </r>
  <r>
    <x v="0"/>
    <x v="0"/>
    <x v="0"/>
    <n v="66016"/>
    <d v="2020-06-15T00:00:00"/>
    <x v="1"/>
    <x v="1"/>
    <x v="1"/>
    <x v="1"/>
    <n v="130"/>
    <n v="1560"/>
  </r>
  <r>
    <x v="0"/>
    <x v="0"/>
    <x v="0"/>
    <n v="66016"/>
    <d v="2020-06-16T00:00:00"/>
    <x v="1"/>
    <x v="1"/>
    <x v="2"/>
    <x v="2"/>
    <n v="120"/>
    <n v="1200"/>
  </r>
  <r>
    <x v="0"/>
    <x v="0"/>
    <x v="0"/>
    <n v="68097"/>
    <d v="2020-06-17T00:00:00"/>
    <x v="0"/>
    <x v="0"/>
    <x v="1"/>
    <x v="1"/>
    <n v="140"/>
    <n v="1680"/>
  </r>
  <r>
    <x v="0"/>
    <x v="0"/>
    <x v="0"/>
    <n v="68097"/>
    <d v="2020-06-18T00:00:00"/>
    <x v="0"/>
    <x v="0"/>
    <x v="2"/>
    <x v="2"/>
    <n v="130"/>
    <n v="1300"/>
  </r>
  <r>
    <x v="0"/>
    <x v="0"/>
    <x v="0"/>
    <n v="68099"/>
    <d v="2020-06-19T00:00:00"/>
    <x v="1"/>
    <x v="1"/>
    <x v="1"/>
    <x v="1"/>
    <n v="120"/>
    <n v="1440"/>
  </r>
  <r>
    <x v="0"/>
    <x v="0"/>
    <x v="0"/>
    <n v="68099"/>
    <d v="2020-06-20T00:00:00"/>
    <x v="1"/>
    <x v="1"/>
    <x v="2"/>
    <x v="2"/>
    <n v="140"/>
    <n v="1400"/>
  </r>
  <r>
    <x v="0"/>
    <x v="0"/>
    <x v="0"/>
    <n v="68099"/>
    <d v="2020-06-21T00:00:00"/>
    <x v="1"/>
    <x v="1"/>
    <x v="3"/>
    <x v="3"/>
    <n v="170"/>
    <n v="850"/>
  </r>
  <r>
    <x v="0"/>
    <x v="0"/>
    <x v="0"/>
    <n v="68101"/>
    <d v="2020-06-15T00:00:00"/>
    <x v="0"/>
    <x v="0"/>
    <x v="1"/>
    <x v="1"/>
    <n v="190"/>
    <n v="2280"/>
  </r>
  <r>
    <x v="0"/>
    <x v="0"/>
    <x v="0"/>
    <n v="68101"/>
    <d v="2020-06-16T00:00:00"/>
    <x v="0"/>
    <x v="0"/>
    <x v="2"/>
    <x v="2"/>
    <n v="140"/>
    <n v="1400"/>
  </r>
  <r>
    <x v="0"/>
    <x v="0"/>
    <x v="0"/>
    <n v="65627"/>
    <d v="2020-06-17T00:00:00"/>
    <x v="1"/>
    <x v="1"/>
    <x v="0"/>
    <x v="0"/>
    <n v="140"/>
    <n v="1680"/>
  </r>
  <r>
    <x v="0"/>
    <x v="0"/>
    <x v="0"/>
    <n v="65627"/>
    <d v="2020-06-18T00:00:00"/>
    <x v="1"/>
    <x v="1"/>
    <x v="1"/>
    <x v="1"/>
    <n v="160"/>
    <n v="1920"/>
  </r>
  <r>
    <x v="0"/>
    <x v="0"/>
    <x v="0"/>
    <n v="65629"/>
    <d v="2020-06-19T00:00:00"/>
    <x v="0"/>
    <x v="0"/>
    <x v="0"/>
    <x v="0"/>
    <n v="190"/>
    <n v="2280"/>
  </r>
  <r>
    <x v="0"/>
    <x v="0"/>
    <x v="0"/>
    <n v="65629"/>
    <d v="2020-06-20T00:00:00"/>
    <x v="0"/>
    <x v="0"/>
    <x v="1"/>
    <x v="1"/>
    <n v="130"/>
    <n v="1560"/>
  </r>
  <r>
    <x v="0"/>
    <x v="0"/>
    <x v="0"/>
    <n v="65629"/>
    <d v="2020-06-21T00:00:00"/>
    <x v="0"/>
    <x v="0"/>
    <x v="2"/>
    <x v="2"/>
    <n v="140"/>
    <n v="1400"/>
  </r>
  <r>
    <x v="0"/>
    <x v="0"/>
    <x v="0"/>
    <n v="65631"/>
    <d v="2020-06-22T00:00:00"/>
    <x v="1"/>
    <x v="1"/>
    <x v="3"/>
    <x v="3"/>
    <n v="190"/>
    <n v="950"/>
  </r>
  <r>
    <x v="0"/>
    <x v="0"/>
    <x v="0"/>
    <n v="65631"/>
    <d v="2020-06-23T00:00:00"/>
    <x v="1"/>
    <x v="1"/>
    <x v="0"/>
    <x v="0"/>
    <n v="120"/>
    <n v="1440"/>
  </r>
  <r>
    <x v="1"/>
    <x v="1"/>
    <x v="0"/>
    <n v="24030"/>
    <d v="2020-06-01T00:00:00"/>
    <x v="1"/>
    <x v="1"/>
    <x v="4"/>
    <x v="4"/>
    <n v="130"/>
    <n v="1560"/>
  </r>
  <r>
    <x v="1"/>
    <x v="1"/>
    <x v="0"/>
    <n v="24030"/>
    <d v="2020-06-02T00:00:00"/>
    <x v="1"/>
    <x v="1"/>
    <x v="5"/>
    <x v="5"/>
    <n v="30"/>
    <n v="360"/>
  </r>
  <r>
    <x v="1"/>
    <x v="1"/>
    <x v="0"/>
    <n v="24030"/>
    <d v="2020-06-03T00:00:00"/>
    <x v="1"/>
    <x v="1"/>
    <x v="6"/>
    <x v="6"/>
    <n v="60"/>
    <n v="300"/>
  </r>
  <r>
    <x v="1"/>
    <x v="1"/>
    <x v="0"/>
    <n v="24030"/>
    <d v="2020-06-04T00:00:00"/>
    <x v="1"/>
    <x v="1"/>
    <x v="7"/>
    <x v="7"/>
    <n v="80"/>
    <n v="2240"/>
  </r>
  <r>
    <x v="1"/>
    <x v="1"/>
    <x v="0"/>
    <n v="24031"/>
    <d v="2020-06-05T00:00:00"/>
    <x v="1"/>
    <x v="1"/>
    <x v="4"/>
    <x v="4"/>
    <n v="100"/>
    <n v="1200"/>
  </r>
  <r>
    <x v="1"/>
    <x v="1"/>
    <x v="0"/>
    <n v="24031"/>
    <d v="2020-06-06T00:00:00"/>
    <x v="1"/>
    <x v="1"/>
    <x v="7"/>
    <x v="7"/>
    <n v="20"/>
    <n v="560"/>
  </r>
  <r>
    <x v="1"/>
    <x v="1"/>
    <x v="0"/>
    <n v="24031"/>
    <d v="2020-06-07T00:00:00"/>
    <x v="1"/>
    <x v="1"/>
    <x v="8"/>
    <x v="8"/>
    <n v="100"/>
    <n v="2500"/>
  </r>
  <r>
    <x v="1"/>
    <x v="1"/>
    <x v="0"/>
    <n v="28112"/>
    <d v="2020-06-08T00:00:00"/>
    <x v="1"/>
    <x v="1"/>
    <x v="9"/>
    <x v="9"/>
    <n v="50"/>
    <n v="1250"/>
  </r>
  <r>
    <x v="1"/>
    <x v="1"/>
    <x v="0"/>
    <n v="28112"/>
    <d v="2020-06-09T00:00:00"/>
    <x v="1"/>
    <x v="1"/>
    <x v="4"/>
    <x v="4"/>
    <n v="40"/>
    <n v="480"/>
  </r>
  <r>
    <x v="1"/>
    <x v="1"/>
    <x v="0"/>
    <n v="28112"/>
    <d v="2020-06-10T00:00:00"/>
    <x v="1"/>
    <x v="1"/>
    <x v="5"/>
    <x v="5"/>
    <n v="70"/>
    <n v="840"/>
  </r>
  <r>
    <x v="1"/>
    <x v="1"/>
    <x v="0"/>
    <n v="28112"/>
    <d v="2020-06-11T00:00:00"/>
    <x v="1"/>
    <x v="1"/>
    <x v="6"/>
    <x v="6"/>
    <n v="70"/>
    <n v="350"/>
  </r>
  <r>
    <x v="1"/>
    <x v="1"/>
    <x v="0"/>
    <n v="28112"/>
    <d v="2020-06-12T00:00:00"/>
    <x v="1"/>
    <x v="1"/>
    <x v="7"/>
    <x v="7"/>
    <n v="10"/>
    <n v="280"/>
  </r>
  <r>
    <x v="1"/>
    <x v="1"/>
    <x v="0"/>
    <n v="28112"/>
    <d v="2020-06-13T00:00:00"/>
    <x v="1"/>
    <x v="1"/>
    <x v="10"/>
    <x v="10"/>
    <n v="80"/>
    <n v="1440"/>
  </r>
  <r>
    <x v="1"/>
    <x v="1"/>
    <x v="0"/>
    <n v="28112"/>
    <d v="2020-06-14T00:00:00"/>
    <x v="1"/>
    <x v="1"/>
    <x v="11"/>
    <x v="11"/>
    <n v="70"/>
    <n v="1260"/>
  </r>
  <r>
    <x v="1"/>
    <x v="1"/>
    <x v="0"/>
    <n v="25442"/>
    <d v="2020-06-15T00:00:00"/>
    <x v="0"/>
    <x v="0"/>
    <x v="11"/>
    <x v="11"/>
    <n v="70"/>
    <n v="1260"/>
  </r>
  <r>
    <x v="1"/>
    <x v="1"/>
    <x v="0"/>
    <n v="25442"/>
    <d v="2020-06-16T00:00:00"/>
    <x v="0"/>
    <x v="0"/>
    <x v="10"/>
    <x v="10"/>
    <n v="80"/>
    <n v="1440"/>
  </r>
  <r>
    <x v="1"/>
    <x v="1"/>
    <x v="0"/>
    <n v="25442"/>
    <d v="2020-06-17T00:00:00"/>
    <x v="0"/>
    <x v="0"/>
    <x v="11"/>
    <x v="11"/>
    <n v="70"/>
    <n v="1260"/>
  </r>
  <r>
    <x v="1"/>
    <x v="1"/>
    <x v="0"/>
    <n v="25442"/>
    <d v="2020-06-18T00:00:00"/>
    <x v="0"/>
    <x v="0"/>
    <x v="12"/>
    <x v="12"/>
    <n v="60"/>
    <n v="360"/>
  </r>
  <r>
    <x v="1"/>
    <x v="1"/>
    <x v="0"/>
    <n v="25442"/>
    <d v="2020-06-19T00:00:00"/>
    <x v="0"/>
    <x v="0"/>
    <x v="6"/>
    <x v="6"/>
    <n v="20"/>
    <n v="100"/>
  </r>
  <r>
    <x v="1"/>
    <x v="1"/>
    <x v="0"/>
    <n v="25442"/>
    <d v="2020-06-20T00:00:00"/>
    <x v="0"/>
    <x v="0"/>
    <x v="4"/>
    <x v="4"/>
    <n v="40"/>
    <n v="480"/>
  </r>
  <r>
    <x v="1"/>
    <x v="1"/>
    <x v="0"/>
    <n v="25442"/>
    <d v="2020-06-21T00:00:00"/>
    <x v="0"/>
    <x v="0"/>
    <x v="5"/>
    <x v="5"/>
    <n v="10"/>
    <n v="120"/>
  </r>
  <r>
    <x v="2"/>
    <x v="2"/>
    <x v="1"/>
    <n v="44030"/>
    <d v="2020-06-01T00:00:00"/>
    <x v="2"/>
    <x v="2"/>
    <x v="7"/>
    <x v="7"/>
    <n v="60"/>
    <n v="1970"/>
  </r>
  <r>
    <x v="2"/>
    <x v="2"/>
    <x v="1"/>
    <n v="44030"/>
    <d v="2020-06-02T00:00:00"/>
    <x v="2"/>
    <x v="2"/>
    <x v="13"/>
    <x v="13"/>
    <n v="60"/>
    <n v="1970"/>
  </r>
  <r>
    <x v="2"/>
    <x v="2"/>
    <x v="1"/>
    <n v="44032"/>
    <d v="2020-06-01T00:00:00"/>
    <x v="2"/>
    <x v="2"/>
    <x v="7"/>
    <x v="7"/>
    <n v="60"/>
    <n v="1970"/>
  </r>
  <r>
    <x v="2"/>
    <x v="2"/>
    <x v="1"/>
    <n v="44032"/>
    <d v="2020-06-02T00:00:00"/>
    <x v="2"/>
    <x v="2"/>
    <x v="13"/>
    <x v="13"/>
    <n v="70"/>
    <n v="2300"/>
  </r>
  <r>
    <x v="2"/>
    <x v="2"/>
    <x v="1"/>
    <n v="44031"/>
    <d v="2020-06-01T00:00:00"/>
    <x v="3"/>
    <x v="3"/>
    <x v="7"/>
    <x v="7"/>
    <n v="60"/>
    <n v="1970"/>
  </r>
  <r>
    <x v="2"/>
    <x v="2"/>
    <x v="1"/>
    <n v="44031"/>
    <d v="2020-06-02T00:00:00"/>
    <x v="3"/>
    <x v="3"/>
    <x v="13"/>
    <x v="13"/>
    <n v="50"/>
    <n v="1640"/>
  </r>
  <r>
    <x v="2"/>
    <x v="2"/>
    <x v="1"/>
    <n v="44031"/>
    <d v="2020-06-07T00:00:00"/>
    <x v="3"/>
    <x v="3"/>
    <x v="14"/>
    <x v="14"/>
    <n v="60"/>
    <n v="4230"/>
  </r>
  <r>
    <x v="2"/>
    <x v="2"/>
    <x v="1"/>
    <n v="48112"/>
    <d v="2020-06-08T00:00:00"/>
    <x v="2"/>
    <x v="2"/>
    <x v="13"/>
    <x v="13"/>
    <n v="60"/>
    <n v="1970"/>
  </r>
  <r>
    <x v="2"/>
    <x v="2"/>
    <x v="1"/>
    <n v="48112"/>
    <d v="2020-06-09T00:00:00"/>
    <x v="2"/>
    <x v="2"/>
    <x v="14"/>
    <x v="14"/>
    <n v="50"/>
    <n v="3520"/>
  </r>
  <r>
    <x v="2"/>
    <x v="2"/>
    <x v="1"/>
    <n v="48114"/>
    <d v="2020-06-08T00:00:00"/>
    <x v="3"/>
    <x v="3"/>
    <x v="13"/>
    <x v="13"/>
    <n v="60"/>
    <n v="1970"/>
  </r>
  <r>
    <x v="2"/>
    <x v="2"/>
    <x v="1"/>
    <n v="48114"/>
    <d v="2020-06-09T00:00:00"/>
    <x v="3"/>
    <x v="3"/>
    <x v="14"/>
    <x v="14"/>
    <n v="60"/>
    <n v="4230"/>
  </r>
  <r>
    <x v="2"/>
    <x v="2"/>
    <x v="1"/>
    <n v="48114"/>
    <d v="2020-06-12T00:00:00"/>
    <x v="3"/>
    <x v="3"/>
    <x v="15"/>
    <x v="15"/>
    <n v="80"/>
    <n v="1880"/>
  </r>
  <r>
    <x v="2"/>
    <x v="2"/>
    <x v="1"/>
    <n v="48116"/>
    <d v="2020-06-08T00:00:00"/>
    <x v="2"/>
    <x v="2"/>
    <x v="13"/>
    <x v="13"/>
    <n v="60"/>
    <n v="1970"/>
  </r>
  <r>
    <x v="2"/>
    <x v="2"/>
    <x v="1"/>
    <n v="48116"/>
    <d v="2020-06-09T00:00:00"/>
    <x v="2"/>
    <x v="2"/>
    <x v="14"/>
    <x v="14"/>
    <n v="60"/>
    <n v="4230"/>
  </r>
  <r>
    <x v="2"/>
    <x v="2"/>
    <x v="1"/>
    <n v="45442"/>
    <d v="2020-06-15T00:00:00"/>
    <x v="3"/>
    <x v="3"/>
    <x v="7"/>
    <x v="7"/>
    <n v="50"/>
    <n v="1640"/>
  </r>
  <r>
    <x v="2"/>
    <x v="2"/>
    <x v="1"/>
    <n v="45442"/>
    <d v="2020-06-16T00:00:00"/>
    <x v="3"/>
    <x v="3"/>
    <x v="13"/>
    <x v="13"/>
    <n v="60"/>
    <n v="1970"/>
  </r>
  <r>
    <x v="2"/>
    <x v="2"/>
    <x v="1"/>
    <n v="45444"/>
    <d v="2020-06-15T00:00:00"/>
    <x v="2"/>
    <x v="2"/>
    <x v="7"/>
    <x v="7"/>
    <n v="60"/>
    <n v="1970"/>
  </r>
  <r>
    <x v="2"/>
    <x v="2"/>
    <x v="1"/>
    <n v="45444"/>
    <d v="2020-06-16T00:00:00"/>
    <x v="2"/>
    <x v="2"/>
    <x v="13"/>
    <x v="13"/>
    <n v="70"/>
    <n v="2300"/>
  </r>
  <r>
    <x v="2"/>
    <x v="2"/>
    <x v="1"/>
    <n v="45444"/>
    <d v="2020-06-19T00:00:00"/>
    <x v="2"/>
    <x v="2"/>
    <x v="14"/>
    <x v="14"/>
    <n v="60"/>
    <n v="4230"/>
  </r>
  <r>
    <x v="2"/>
    <x v="2"/>
    <x v="1"/>
    <n v="45446"/>
    <d v="2020-06-15T00:00:00"/>
    <x v="3"/>
    <x v="3"/>
    <x v="15"/>
    <x v="15"/>
    <n v="80"/>
    <n v="1880"/>
  </r>
  <r>
    <x v="2"/>
    <x v="2"/>
    <x v="1"/>
    <n v="45446"/>
    <d v="2020-06-16T00:00:00"/>
    <x v="3"/>
    <x v="3"/>
    <x v="7"/>
    <x v="7"/>
    <n v="50"/>
    <n v="1640"/>
  </r>
  <r>
    <x v="2"/>
    <x v="2"/>
    <x v="1"/>
    <n v="44015"/>
    <d v="2020-06-18T00:00:00"/>
    <x v="2"/>
    <x v="2"/>
    <x v="7"/>
    <x v="7"/>
    <n v="60"/>
    <n v="1970"/>
  </r>
  <r>
    <x v="2"/>
    <x v="2"/>
    <x v="1"/>
    <n v="44015"/>
    <d v="2020-06-23T00:00:00"/>
    <x v="2"/>
    <x v="2"/>
    <x v="13"/>
    <x v="13"/>
    <n v="70"/>
    <n v="2300"/>
  </r>
  <r>
    <x v="2"/>
    <x v="2"/>
    <x v="1"/>
    <n v="44017"/>
    <d v="2020-06-16T00:00:00"/>
    <x v="2"/>
    <x v="2"/>
    <x v="7"/>
    <x v="7"/>
    <n v="70"/>
    <n v="2300"/>
  </r>
  <r>
    <x v="2"/>
    <x v="2"/>
    <x v="1"/>
    <n v="44017"/>
    <d v="2020-06-25T00:00:00"/>
    <x v="2"/>
    <x v="2"/>
    <x v="13"/>
    <x v="13"/>
    <n v="70"/>
    <n v="2300"/>
  </r>
  <r>
    <x v="2"/>
    <x v="2"/>
    <x v="1"/>
    <n v="44016"/>
    <d v="2020-06-16T00:00:00"/>
    <x v="3"/>
    <x v="3"/>
    <x v="7"/>
    <x v="7"/>
    <n v="70"/>
    <n v="2300"/>
  </r>
  <r>
    <x v="2"/>
    <x v="2"/>
    <x v="1"/>
    <n v="44016"/>
    <d v="2020-06-18T00:00:00"/>
    <x v="3"/>
    <x v="3"/>
    <x v="13"/>
    <x v="13"/>
    <n v="60"/>
    <n v="1970"/>
  </r>
  <r>
    <x v="2"/>
    <x v="2"/>
    <x v="1"/>
    <n v="44016"/>
    <d v="2020-06-23T00:00:00"/>
    <x v="3"/>
    <x v="3"/>
    <x v="14"/>
    <x v="14"/>
    <n v="50"/>
    <n v="3520"/>
  </r>
  <r>
    <x v="2"/>
    <x v="2"/>
    <x v="1"/>
    <n v="48097"/>
    <d v="2020-06-29T00:00:00"/>
    <x v="2"/>
    <x v="2"/>
    <x v="13"/>
    <x v="13"/>
    <n v="60"/>
    <n v="1970"/>
  </r>
  <r>
    <x v="2"/>
    <x v="2"/>
    <x v="1"/>
    <n v="48097"/>
    <d v="2020-06-30T00:00:00"/>
    <x v="2"/>
    <x v="2"/>
    <x v="14"/>
    <x v="14"/>
    <n v="70"/>
    <n v="4930"/>
  </r>
  <r>
    <x v="2"/>
    <x v="2"/>
    <x v="1"/>
    <n v="48099"/>
    <d v="2020-06-15T00:00:00"/>
    <x v="3"/>
    <x v="3"/>
    <x v="13"/>
    <x v="13"/>
    <n v="60"/>
    <n v="1970"/>
  </r>
  <r>
    <x v="2"/>
    <x v="2"/>
    <x v="1"/>
    <n v="48099"/>
    <d v="2020-06-16T00:00:00"/>
    <x v="3"/>
    <x v="3"/>
    <x v="14"/>
    <x v="14"/>
    <n v="60"/>
    <n v="4230"/>
  </r>
  <r>
    <x v="2"/>
    <x v="2"/>
    <x v="1"/>
    <n v="48099"/>
    <d v="2020-06-17T00:00:00"/>
    <x v="3"/>
    <x v="3"/>
    <x v="15"/>
    <x v="15"/>
    <n v="60"/>
    <n v="1410"/>
  </r>
  <r>
    <x v="2"/>
    <x v="2"/>
    <x v="1"/>
    <n v="48101"/>
    <d v="2020-06-18T00:00:00"/>
    <x v="2"/>
    <x v="2"/>
    <x v="13"/>
    <x v="13"/>
    <n v="60"/>
    <n v="1970"/>
  </r>
  <r>
    <x v="2"/>
    <x v="2"/>
    <x v="1"/>
    <n v="48101"/>
    <d v="2020-06-19T00:00:00"/>
    <x v="2"/>
    <x v="2"/>
    <x v="14"/>
    <x v="14"/>
    <n v="50"/>
    <n v="3520"/>
  </r>
  <r>
    <x v="2"/>
    <x v="2"/>
    <x v="1"/>
    <n v="45427"/>
    <d v="2020-06-20T00:00:00"/>
    <x v="3"/>
    <x v="3"/>
    <x v="7"/>
    <x v="7"/>
    <n v="70"/>
    <n v="2300"/>
  </r>
  <r>
    <x v="2"/>
    <x v="2"/>
    <x v="1"/>
    <n v="45427"/>
    <d v="2020-06-21T00:00:00"/>
    <x v="3"/>
    <x v="3"/>
    <x v="13"/>
    <x v="13"/>
    <n v="60"/>
    <n v="1970"/>
  </r>
  <r>
    <x v="2"/>
    <x v="2"/>
    <x v="1"/>
    <n v="45429"/>
    <d v="2020-06-22T00:00:00"/>
    <x v="2"/>
    <x v="2"/>
    <x v="7"/>
    <x v="7"/>
    <n v="80"/>
    <n v="2630"/>
  </r>
  <r>
    <x v="2"/>
    <x v="2"/>
    <x v="1"/>
    <n v="45429"/>
    <d v="2020-06-23T00:00:00"/>
    <x v="2"/>
    <x v="2"/>
    <x v="13"/>
    <x v="13"/>
    <n v="80"/>
    <n v="2630"/>
  </r>
  <r>
    <x v="2"/>
    <x v="2"/>
    <x v="1"/>
    <n v="45429"/>
    <d v="2020-06-24T00:00:00"/>
    <x v="2"/>
    <x v="2"/>
    <x v="14"/>
    <x v="14"/>
    <n v="50"/>
    <n v="3520"/>
  </r>
  <r>
    <x v="2"/>
    <x v="2"/>
    <x v="1"/>
    <n v="45431"/>
    <d v="2020-06-25T00:00:00"/>
    <x v="3"/>
    <x v="3"/>
    <x v="15"/>
    <x v="15"/>
    <n v="60"/>
    <n v="1410"/>
  </r>
  <r>
    <x v="2"/>
    <x v="2"/>
    <x v="1"/>
    <n v="45431"/>
    <d v="2020-06-26T00:00:00"/>
    <x v="3"/>
    <x v="3"/>
    <x v="7"/>
    <x v="7"/>
    <n v="60"/>
    <n v="197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
  <r>
    <x v="0"/>
    <x v="0"/>
    <x v="0"/>
    <n v="66030"/>
    <d v="2020-06-01T00:00:00"/>
    <n v="8010"/>
    <s v="Dellicia"/>
    <n v="103"/>
    <s v="Women type T simple white"/>
    <n v="120"/>
    <n v="1440"/>
  </r>
  <r>
    <x v="0"/>
    <x v="0"/>
    <x v="0"/>
    <n v="66030"/>
    <d v="2020-06-02T00:00:00"/>
    <n v="8010"/>
    <s v="Dellicia"/>
    <n v="104"/>
    <s v="Women type T simple black"/>
    <n v="150"/>
    <n v="1800"/>
  </r>
  <r>
    <x v="0"/>
    <x v="0"/>
    <x v="0"/>
    <n v="66032"/>
    <d v="2020-06-01T00:00:00"/>
    <n v="8010"/>
    <s v="Dellicia"/>
    <n v="103"/>
    <s v="Women type T simple white"/>
    <n v="170"/>
    <n v="2040"/>
  </r>
  <r>
    <x v="0"/>
    <x v="0"/>
    <x v="0"/>
    <n v="66032"/>
    <d v="2020-06-02T00:00:00"/>
    <n v="8010"/>
    <s v="Dellicia"/>
    <n v="104"/>
    <s v="Women type T simple black"/>
    <n v="140"/>
    <n v="1680"/>
  </r>
  <r>
    <x v="0"/>
    <x v="0"/>
    <x v="0"/>
    <n v="66031"/>
    <d v="2020-06-01T00:00:00"/>
    <n v="8020"/>
    <s v="Erma"/>
    <n v="103"/>
    <s v="Women type T simple white"/>
    <n v="140"/>
    <n v="1680"/>
  </r>
  <r>
    <x v="0"/>
    <x v="0"/>
    <x v="0"/>
    <n v="66031"/>
    <d v="2020-06-02T00:00:00"/>
    <n v="8020"/>
    <s v="Erma"/>
    <n v="104"/>
    <s v="Women type T simple black"/>
    <n v="150"/>
    <n v="1800"/>
  </r>
  <r>
    <x v="0"/>
    <x v="0"/>
    <x v="0"/>
    <n v="66031"/>
    <d v="2020-06-07T00:00:00"/>
    <n v="8020"/>
    <s v="Erma"/>
    <n v="105"/>
    <s v="Women crop top black"/>
    <n v="100"/>
    <n v="1000"/>
  </r>
  <r>
    <x v="0"/>
    <x v="0"/>
    <x v="0"/>
    <n v="68112"/>
    <d v="2020-06-08T00:00:00"/>
    <n v="8010"/>
    <s v="Dellicia"/>
    <n v="104"/>
    <s v="Women type T simple black"/>
    <n v="180"/>
    <n v="2160"/>
  </r>
  <r>
    <x v="0"/>
    <x v="0"/>
    <x v="0"/>
    <n v="68112"/>
    <d v="2020-06-09T00:00:00"/>
    <n v="8010"/>
    <s v="Dellicia"/>
    <n v="105"/>
    <s v="Women crop top black"/>
    <n v="120"/>
    <n v="1200"/>
  </r>
  <r>
    <x v="0"/>
    <x v="0"/>
    <x v="0"/>
    <n v="68116"/>
    <d v="2020-06-10T00:00:00"/>
    <n v="8020"/>
    <s v="Erma"/>
    <n v="104"/>
    <s v="Women type T simple black"/>
    <n v="150"/>
    <n v="1800"/>
  </r>
  <r>
    <x v="0"/>
    <x v="0"/>
    <x v="0"/>
    <n v="68116"/>
    <d v="2020-06-11T00:00:00"/>
    <n v="8020"/>
    <s v="Erma"/>
    <n v="105"/>
    <s v="Women crop top black"/>
    <n v="190"/>
    <n v="1900"/>
  </r>
  <r>
    <x v="0"/>
    <x v="0"/>
    <x v="0"/>
    <n v="68116"/>
    <d v="2020-06-12T00:00:00"/>
    <n v="8020"/>
    <s v="Erma"/>
    <n v="107"/>
    <s v="Women basics"/>
    <n v="160"/>
    <n v="800"/>
  </r>
  <r>
    <x v="0"/>
    <x v="0"/>
    <x v="0"/>
    <n v="68116"/>
    <d v="2020-06-13T00:00:00"/>
    <n v="8010"/>
    <s v="Dellicia"/>
    <n v="104"/>
    <s v="Women type T simple black"/>
    <n v="160"/>
    <n v="1920"/>
  </r>
  <r>
    <x v="0"/>
    <x v="0"/>
    <x v="0"/>
    <n v="68116"/>
    <d v="2020-06-14T00:00:00"/>
    <n v="8010"/>
    <s v="Dellicia"/>
    <n v="105"/>
    <s v="Women crop top black"/>
    <n v="190"/>
    <n v="1900"/>
  </r>
  <r>
    <x v="0"/>
    <x v="0"/>
    <x v="0"/>
    <n v="65662"/>
    <d v="2020-06-15T00:00:00"/>
    <n v="8020"/>
    <s v="Erma"/>
    <n v="103"/>
    <s v="Women type T simple white"/>
    <n v="120"/>
    <n v="1440"/>
  </r>
  <r>
    <x v="0"/>
    <x v="0"/>
    <x v="0"/>
    <n v="65662"/>
    <d v="2020-06-16T00:00:00"/>
    <n v="8020"/>
    <s v="Erma"/>
    <n v="104"/>
    <s v="Women type T simple black"/>
    <n v="110"/>
    <n v="1320"/>
  </r>
  <r>
    <x v="0"/>
    <x v="0"/>
    <x v="0"/>
    <n v="65666"/>
    <d v="2020-06-02T00:00:00"/>
    <n v="8010"/>
    <s v="Dellicia"/>
    <n v="103"/>
    <s v="Women type T simple white"/>
    <n v="120"/>
    <n v="1440"/>
  </r>
  <r>
    <x v="0"/>
    <x v="0"/>
    <x v="0"/>
    <n v="65666"/>
    <d v="2020-06-03T00:00:00"/>
    <n v="8010"/>
    <s v="Dellicia"/>
    <n v="104"/>
    <s v="Women type T simple black"/>
    <n v="140"/>
    <n v="1680"/>
  </r>
  <r>
    <x v="0"/>
    <x v="0"/>
    <x v="0"/>
    <n v="65666"/>
    <d v="2020-06-04T00:00:00"/>
    <n v="8010"/>
    <s v="Dellicia"/>
    <n v="105"/>
    <s v="Women crop top black"/>
    <n v="160"/>
    <n v="1600"/>
  </r>
  <r>
    <x v="0"/>
    <x v="0"/>
    <x v="0"/>
    <n v="65666"/>
    <d v="2020-06-05T00:00:00"/>
    <n v="8020"/>
    <s v="Erma"/>
    <n v="107"/>
    <s v="Women basics"/>
    <n v="120"/>
    <n v="600"/>
  </r>
  <r>
    <x v="0"/>
    <x v="0"/>
    <x v="0"/>
    <n v="65666"/>
    <d v="2020-06-06T00:00:00"/>
    <n v="8020"/>
    <s v="Erma"/>
    <n v="103"/>
    <s v="Women type T simple white"/>
    <n v="200"/>
    <n v="2400"/>
  </r>
  <r>
    <x v="0"/>
    <x v="0"/>
    <x v="0"/>
    <n v="66015"/>
    <d v="2020-06-10T00:00:00"/>
    <n v="8010"/>
    <s v="Dellicia"/>
    <n v="103"/>
    <s v="Women type T simple white"/>
    <n v="140"/>
    <n v="1680"/>
  </r>
  <r>
    <x v="0"/>
    <x v="0"/>
    <x v="0"/>
    <n v="66015"/>
    <d v="2020-06-11T00:00:00"/>
    <n v="8010"/>
    <s v="Dellicia"/>
    <n v="104"/>
    <s v="Women type T simple black"/>
    <n v="140"/>
    <n v="1680"/>
  </r>
  <r>
    <x v="0"/>
    <x v="0"/>
    <x v="0"/>
    <n v="66017"/>
    <d v="2020-06-12T00:00:00"/>
    <n v="8010"/>
    <s v="Dellicia"/>
    <n v="103"/>
    <s v="Women type T simple white"/>
    <n v="140"/>
    <n v="1680"/>
  </r>
  <r>
    <x v="0"/>
    <x v="0"/>
    <x v="0"/>
    <n v="66017"/>
    <d v="2020-06-13T00:00:00"/>
    <n v="8010"/>
    <s v="Dellicia"/>
    <n v="104"/>
    <s v="Women type T simple black"/>
    <n v="140"/>
    <n v="1680"/>
  </r>
  <r>
    <x v="0"/>
    <x v="0"/>
    <x v="0"/>
    <n v="66016"/>
    <d v="2020-06-14T00:00:00"/>
    <n v="8020"/>
    <s v="Erma"/>
    <n v="103"/>
    <s v="Women type T simple white"/>
    <n v="120"/>
    <n v="1440"/>
  </r>
  <r>
    <x v="0"/>
    <x v="0"/>
    <x v="0"/>
    <n v="66016"/>
    <d v="2020-06-15T00:00:00"/>
    <n v="8020"/>
    <s v="Erma"/>
    <n v="104"/>
    <s v="Women type T simple black"/>
    <n v="130"/>
    <n v="1560"/>
  </r>
  <r>
    <x v="0"/>
    <x v="0"/>
    <x v="0"/>
    <n v="66016"/>
    <d v="2020-06-16T00:00:00"/>
    <n v="8020"/>
    <s v="Erma"/>
    <n v="105"/>
    <s v="Women crop top black"/>
    <n v="120"/>
    <n v="1200"/>
  </r>
  <r>
    <x v="0"/>
    <x v="0"/>
    <x v="0"/>
    <n v="68097"/>
    <d v="2020-06-17T00:00:00"/>
    <n v="8010"/>
    <s v="Dellicia"/>
    <n v="104"/>
    <s v="Women type T simple black"/>
    <n v="140"/>
    <n v="1680"/>
  </r>
  <r>
    <x v="0"/>
    <x v="0"/>
    <x v="0"/>
    <n v="68097"/>
    <d v="2020-06-18T00:00:00"/>
    <n v="8010"/>
    <s v="Dellicia"/>
    <n v="105"/>
    <s v="Women crop top black"/>
    <n v="130"/>
    <n v="1300"/>
  </r>
  <r>
    <x v="0"/>
    <x v="0"/>
    <x v="0"/>
    <n v="68099"/>
    <d v="2020-06-19T00:00:00"/>
    <n v="8020"/>
    <s v="Erma"/>
    <n v="104"/>
    <s v="Women type T simple black"/>
    <n v="120"/>
    <n v="1440"/>
  </r>
  <r>
    <x v="0"/>
    <x v="0"/>
    <x v="0"/>
    <n v="68099"/>
    <d v="2020-06-20T00:00:00"/>
    <n v="8020"/>
    <s v="Erma"/>
    <n v="105"/>
    <s v="Women crop top black"/>
    <n v="140"/>
    <n v="1400"/>
  </r>
  <r>
    <x v="0"/>
    <x v="0"/>
    <x v="0"/>
    <n v="68099"/>
    <d v="2020-06-21T00:00:00"/>
    <n v="8020"/>
    <s v="Erma"/>
    <n v="107"/>
    <s v="Women basics"/>
    <n v="170"/>
    <n v="850"/>
  </r>
  <r>
    <x v="0"/>
    <x v="0"/>
    <x v="0"/>
    <n v="68101"/>
    <d v="2020-06-15T00:00:00"/>
    <n v="8010"/>
    <s v="Dellicia"/>
    <n v="104"/>
    <s v="Women type T simple black"/>
    <n v="190"/>
    <n v="2280"/>
  </r>
  <r>
    <x v="0"/>
    <x v="0"/>
    <x v="0"/>
    <n v="68101"/>
    <d v="2020-06-16T00:00:00"/>
    <n v="8010"/>
    <s v="Dellicia"/>
    <n v="105"/>
    <s v="Women crop top black"/>
    <n v="140"/>
    <n v="1400"/>
  </r>
  <r>
    <x v="0"/>
    <x v="0"/>
    <x v="0"/>
    <n v="65627"/>
    <d v="2020-06-17T00:00:00"/>
    <n v="8020"/>
    <s v="Erma"/>
    <n v="103"/>
    <s v="Women type T simple white"/>
    <n v="140"/>
    <n v="1680"/>
  </r>
  <r>
    <x v="0"/>
    <x v="0"/>
    <x v="0"/>
    <n v="65627"/>
    <d v="2020-06-18T00:00:00"/>
    <n v="8020"/>
    <s v="Erma"/>
    <n v="104"/>
    <s v="Women type T simple black"/>
    <n v="160"/>
    <n v="1920"/>
  </r>
  <r>
    <x v="0"/>
    <x v="0"/>
    <x v="0"/>
    <n v="65629"/>
    <d v="2020-06-19T00:00:00"/>
    <n v="8010"/>
    <s v="Dellicia"/>
    <n v="103"/>
    <s v="Women type T simple white"/>
    <n v="190"/>
    <n v="2280"/>
  </r>
  <r>
    <x v="0"/>
    <x v="0"/>
    <x v="0"/>
    <n v="65629"/>
    <d v="2020-06-20T00:00:00"/>
    <n v="8010"/>
    <s v="Dellicia"/>
    <n v="104"/>
    <s v="Women type T simple black"/>
    <n v="130"/>
    <n v="1560"/>
  </r>
  <r>
    <x v="0"/>
    <x v="0"/>
    <x v="0"/>
    <n v="65629"/>
    <d v="2020-06-21T00:00:00"/>
    <n v="8010"/>
    <s v="Dellicia"/>
    <n v="105"/>
    <s v="Women crop top black"/>
    <n v="140"/>
    <n v="1400"/>
  </r>
  <r>
    <x v="0"/>
    <x v="0"/>
    <x v="0"/>
    <n v="65631"/>
    <d v="2020-06-22T00:00:00"/>
    <n v="8020"/>
    <s v="Erma"/>
    <n v="107"/>
    <s v="Women basics"/>
    <n v="190"/>
    <n v="950"/>
  </r>
  <r>
    <x v="0"/>
    <x v="0"/>
    <x v="0"/>
    <n v="65631"/>
    <d v="2020-06-23T00:00:00"/>
    <n v="8020"/>
    <s v="Erma"/>
    <n v="103"/>
    <s v="Women type T simple white"/>
    <n v="120"/>
    <n v="1440"/>
  </r>
  <r>
    <x v="1"/>
    <x v="1"/>
    <x v="0"/>
    <n v="24030"/>
    <d v="2020-06-01T00:00:00"/>
    <n v="8020"/>
    <s v="Erma"/>
    <n v="101"/>
    <s v="Men type T simple white"/>
    <n v="130"/>
    <n v="1560"/>
  </r>
  <r>
    <x v="1"/>
    <x v="1"/>
    <x v="0"/>
    <n v="24030"/>
    <d v="2020-06-02T00:00:00"/>
    <n v="8020"/>
    <s v="Erma"/>
    <n v="102"/>
    <s v="Men type T simple black"/>
    <n v="30"/>
    <n v="360"/>
  </r>
  <r>
    <x v="1"/>
    <x v="1"/>
    <x v="0"/>
    <n v="24030"/>
    <d v="2020-06-03T00:00:00"/>
    <n v="8020"/>
    <s v="Erma"/>
    <n v="106"/>
    <s v="Men basics"/>
    <n v="60"/>
    <n v="300"/>
  </r>
  <r>
    <x v="1"/>
    <x v="1"/>
    <x v="0"/>
    <n v="24030"/>
    <d v="2020-06-04T00:00:00"/>
    <n v="8020"/>
    <s v="Erma"/>
    <n v="108"/>
    <s v="Laptop bag black"/>
    <n v="80"/>
    <n v="2240"/>
  </r>
  <r>
    <x v="1"/>
    <x v="1"/>
    <x v="0"/>
    <n v="24031"/>
    <d v="2020-06-05T00:00:00"/>
    <n v="8020"/>
    <s v="Erma"/>
    <n v="101"/>
    <s v="Men type T simple white"/>
    <n v="100"/>
    <n v="1200"/>
  </r>
  <r>
    <x v="1"/>
    <x v="1"/>
    <x v="0"/>
    <n v="24031"/>
    <d v="2020-06-06T00:00:00"/>
    <n v="8020"/>
    <s v="Erma"/>
    <n v="108"/>
    <s v="Laptop bag black"/>
    <n v="20"/>
    <n v="560"/>
  </r>
  <r>
    <x v="1"/>
    <x v="1"/>
    <x v="0"/>
    <n v="24031"/>
    <d v="2020-06-07T00:00:00"/>
    <n v="8020"/>
    <s v="Erma"/>
    <n v="113"/>
    <s v="Men dress shirt black"/>
    <n v="100"/>
    <n v="2500"/>
  </r>
  <r>
    <x v="1"/>
    <x v="1"/>
    <x v="0"/>
    <n v="28112"/>
    <d v="2020-06-08T00:00:00"/>
    <n v="8020"/>
    <s v="Erma"/>
    <n v="114"/>
    <s v="Men dress shirt grey"/>
    <n v="50"/>
    <n v="1250"/>
  </r>
  <r>
    <x v="1"/>
    <x v="1"/>
    <x v="0"/>
    <n v="28112"/>
    <d v="2020-06-09T00:00:00"/>
    <n v="8020"/>
    <s v="Erma"/>
    <n v="101"/>
    <s v="Men type T simple white"/>
    <n v="40"/>
    <n v="480"/>
  </r>
  <r>
    <x v="1"/>
    <x v="1"/>
    <x v="0"/>
    <n v="28112"/>
    <d v="2020-06-10T00:00:00"/>
    <n v="8020"/>
    <s v="Erma"/>
    <n v="102"/>
    <s v="Men type T simple black"/>
    <n v="70"/>
    <n v="840"/>
  </r>
  <r>
    <x v="1"/>
    <x v="1"/>
    <x v="0"/>
    <n v="28112"/>
    <d v="2020-06-11T00:00:00"/>
    <n v="8020"/>
    <s v="Erma"/>
    <n v="106"/>
    <s v="Men basics"/>
    <n v="70"/>
    <n v="350"/>
  </r>
  <r>
    <x v="1"/>
    <x v="1"/>
    <x v="0"/>
    <n v="28112"/>
    <d v="2020-06-12T00:00:00"/>
    <n v="8020"/>
    <s v="Erma"/>
    <n v="108"/>
    <s v="Laptop bag black"/>
    <n v="10"/>
    <n v="280"/>
  </r>
  <r>
    <x v="1"/>
    <x v="1"/>
    <x v="0"/>
    <n v="28112"/>
    <d v="2020-06-13T00:00:00"/>
    <n v="8020"/>
    <s v="Erma"/>
    <n v="117"/>
    <s v="Men shorts grey"/>
    <n v="80"/>
    <n v="1440"/>
  </r>
  <r>
    <x v="1"/>
    <x v="1"/>
    <x v="0"/>
    <n v="28112"/>
    <d v="2020-06-14T00:00:00"/>
    <n v="8020"/>
    <s v="Erma"/>
    <n v="118"/>
    <s v="Men shorts black"/>
    <n v="70"/>
    <n v="1260"/>
  </r>
  <r>
    <x v="1"/>
    <x v="1"/>
    <x v="0"/>
    <n v="25442"/>
    <d v="2020-06-15T00:00:00"/>
    <n v="8010"/>
    <s v="Dellicia"/>
    <n v="118"/>
    <s v="Men shorts black"/>
    <n v="70"/>
    <n v="1260"/>
  </r>
  <r>
    <x v="1"/>
    <x v="1"/>
    <x v="0"/>
    <n v="25442"/>
    <d v="2020-06-16T00:00:00"/>
    <n v="8010"/>
    <s v="Dellicia"/>
    <n v="117"/>
    <s v="Men shorts grey"/>
    <n v="80"/>
    <n v="1440"/>
  </r>
  <r>
    <x v="1"/>
    <x v="1"/>
    <x v="0"/>
    <n v="25442"/>
    <d v="2020-06-17T00:00:00"/>
    <n v="8010"/>
    <s v="Dellicia"/>
    <n v="118"/>
    <s v="Men shorts black"/>
    <n v="70"/>
    <n v="1260"/>
  </r>
  <r>
    <x v="1"/>
    <x v="1"/>
    <x v="0"/>
    <n v="25442"/>
    <d v="2020-06-18T00:00:00"/>
    <n v="8010"/>
    <s v="Dellicia"/>
    <n v="116"/>
    <s v="Unisex tank top white"/>
    <n v="60"/>
    <n v="360"/>
  </r>
  <r>
    <x v="1"/>
    <x v="1"/>
    <x v="0"/>
    <n v="25442"/>
    <d v="2020-06-19T00:00:00"/>
    <n v="8010"/>
    <s v="Dellicia"/>
    <n v="106"/>
    <s v="Men basics"/>
    <n v="20"/>
    <n v="100"/>
  </r>
  <r>
    <x v="1"/>
    <x v="1"/>
    <x v="0"/>
    <n v="25442"/>
    <d v="2020-06-20T00:00:00"/>
    <n v="8010"/>
    <s v="Dellicia"/>
    <n v="101"/>
    <s v="Men type T simple white"/>
    <n v="40"/>
    <n v="480"/>
  </r>
  <r>
    <x v="1"/>
    <x v="1"/>
    <x v="0"/>
    <n v="25442"/>
    <d v="2020-06-21T00:00:00"/>
    <n v="8010"/>
    <s v="Dellicia"/>
    <n v="102"/>
    <s v="Men type T simple black"/>
    <n v="10"/>
    <n v="120"/>
  </r>
  <r>
    <x v="2"/>
    <x v="2"/>
    <x v="1"/>
    <n v="44030"/>
    <d v="2020-06-01T00:00:00"/>
    <n v="8060"/>
    <s v="Liebher"/>
    <n v="108"/>
    <s v="Laptop bag black"/>
    <n v="60"/>
    <n v="1970"/>
  </r>
  <r>
    <x v="2"/>
    <x v="2"/>
    <x v="1"/>
    <n v="44030"/>
    <d v="2020-06-02T00:00:00"/>
    <n v="8060"/>
    <s v="Liebher"/>
    <n v="109"/>
    <s v="Laptop bag red"/>
    <n v="60"/>
    <n v="1970"/>
  </r>
  <r>
    <x v="2"/>
    <x v="2"/>
    <x v="1"/>
    <n v="44032"/>
    <d v="2020-06-01T00:00:00"/>
    <n v="8060"/>
    <s v="Liebher"/>
    <n v="108"/>
    <s v="Laptop bag black"/>
    <n v="60"/>
    <n v="1970"/>
  </r>
  <r>
    <x v="2"/>
    <x v="2"/>
    <x v="1"/>
    <n v="44032"/>
    <d v="2020-06-02T00:00:00"/>
    <n v="8060"/>
    <s v="Liebher"/>
    <n v="109"/>
    <s v="Laptop bag red"/>
    <n v="70"/>
    <n v="2300"/>
  </r>
  <r>
    <x v="2"/>
    <x v="2"/>
    <x v="1"/>
    <n v="44031"/>
    <d v="2020-06-01T00:00:00"/>
    <n v="8050"/>
    <s v="Aida GmbH"/>
    <n v="108"/>
    <s v="Laptop bag black"/>
    <n v="60"/>
    <n v="1970"/>
  </r>
  <r>
    <x v="2"/>
    <x v="2"/>
    <x v="1"/>
    <n v="44031"/>
    <d v="2020-06-02T00:00:00"/>
    <n v="8050"/>
    <s v="Aida GmbH"/>
    <n v="109"/>
    <s v="Laptop bag red"/>
    <n v="50"/>
    <n v="1640"/>
  </r>
  <r>
    <x v="2"/>
    <x v="2"/>
    <x v="1"/>
    <n v="44031"/>
    <d v="2020-06-07T00:00:00"/>
    <n v="8050"/>
    <s v="Aida GmbH"/>
    <n v="110"/>
    <s v="Smartphone case diamond"/>
    <n v="60"/>
    <n v="4230"/>
  </r>
  <r>
    <x v="2"/>
    <x v="2"/>
    <x v="1"/>
    <n v="48112"/>
    <d v="2020-06-08T00:00:00"/>
    <n v="8060"/>
    <s v="Liebher"/>
    <n v="109"/>
    <s v="Laptop bag red"/>
    <n v="60"/>
    <n v="1970"/>
  </r>
  <r>
    <x v="2"/>
    <x v="2"/>
    <x v="1"/>
    <n v="48112"/>
    <d v="2020-06-09T00:00:00"/>
    <n v="8060"/>
    <s v="Liebher"/>
    <n v="110"/>
    <s v="Smartphone case diamond"/>
    <n v="50"/>
    <n v="3520"/>
  </r>
  <r>
    <x v="2"/>
    <x v="2"/>
    <x v="1"/>
    <n v="48114"/>
    <d v="2020-06-08T00:00:00"/>
    <n v="8050"/>
    <s v="Aida GmbH"/>
    <n v="109"/>
    <s v="Laptop bag red"/>
    <n v="60"/>
    <n v="1970"/>
  </r>
  <r>
    <x v="2"/>
    <x v="2"/>
    <x v="1"/>
    <n v="48114"/>
    <d v="2020-06-09T00:00:00"/>
    <n v="8050"/>
    <s v="Aida GmbH"/>
    <n v="110"/>
    <s v="Smartphone case diamond"/>
    <n v="60"/>
    <n v="4230"/>
  </r>
  <r>
    <x v="2"/>
    <x v="2"/>
    <x v="1"/>
    <n v="48114"/>
    <d v="2020-06-12T00:00:00"/>
    <n v="8050"/>
    <s v="Aida GmbH"/>
    <n v="111"/>
    <s v="Smartphone case simple"/>
    <n v="80"/>
    <n v="1880"/>
  </r>
  <r>
    <x v="2"/>
    <x v="2"/>
    <x v="1"/>
    <n v="48116"/>
    <d v="2020-06-08T00:00:00"/>
    <n v="8060"/>
    <s v="Liebher"/>
    <n v="109"/>
    <s v="Laptop bag red"/>
    <n v="60"/>
    <n v="1970"/>
  </r>
  <r>
    <x v="2"/>
    <x v="2"/>
    <x v="1"/>
    <n v="48116"/>
    <d v="2020-06-09T00:00:00"/>
    <n v="8060"/>
    <s v="Liebher"/>
    <n v="110"/>
    <s v="Smartphone case diamond"/>
    <n v="60"/>
    <n v="4230"/>
  </r>
  <r>
    <x v="2"/>
    <x v="2"/>
    <x v="1"/>
    <n v="45442"/>
    <d v="2020-06-15T00:00:00"/>
    <n v="8050"/>
    <s v="Aida GmbH"/>
    <n v="108"/>
    <s v="Laptop bag black"/>
    <n v="50"/>
    <n v="1640"/>
  </r>
  <r>
    <x v="2"/>
    <x v="2"/>
    <x v="1"/>
    <n v="45442"/>
    <d v="2020-06-16T00:00:00"/>
    <n v="8050"/>
    <s v="Aida GmbH"/>
    <n v="109"/>
    <s v="Laptop bag red"/>
    <n v="60"/>
    <n v="1970"/>
  </r>
  <r>
    <x v="2"/>
    <x v="2"/>
    <x v="1"/>
    <n v="45444"/>
    <d v="2020-06-15T00:00:00"/>
    <n v="8060"/>
    <s v="Liebher"/>
    <n v="108"/>
    <s v="Laptop bag black"/>
    <n v="60"/>
    <n v="1970"/>
  </r>
  <r>
    <x v="2"/>
    <x v="2"/>
    <x v="1"/>
    <n v="45444"/>
    <d v="2020-06-16T00:00:00"/>
    <n v="8060"/>
    <s v="Liebher"/>
    <n v="109"/>
    <s v="Laptop bag red"/>
    <n v="70"/>
    <n v="2300"/>
  </r>
  <r>
    <x v="2"/>
    <x v="2"/>
    <x v="1"/>
    <n v="45444"/>
    <d v="2020-06-19T00:00:00"/>
    <n v="8060"/>
    <s v="Liebher"/>
    <n v="110"/>
    <s v="Smartphone case diamond"/>
    <n v="60"/>
    <n v="4230"/>
  </r>
  <r>
    <x v="2"/>
    <x v="2"/>
    <x v="1"/>
    <n v="45446"/>
    <d v="2020-06-15T00:00:00"/>
    <n v="8050"/>
    <s v="Aida GmbH"/>
    <n v="111"/>
    <s v="Smartphone case simple"/>
    <n v="80"/>
    <n v="1880"/>
  </r>
  <r>
    <x v="2"/>
    <x v="2"/>
    <x v="1"/>
    <n v="45446"/>
    <d v="2020-06-16T00:00:00"/>
    <n v="8050"/>
    <s v="Aida GmbH"/>
    <n v="108"/>
    <s v="Laptop bag black"/>
    <n v="50"/>
    <n v="1640"/>
  </r>
  <r>
    <x v="2"/>
    <x v="2"/>
    <x v="1"/>
    <n v="44015"/>
    <d v="2020-06-18T00:00:00"/>
    <n v="8060"/>
    <s v="Liebher"/>
    <n v="108"/>
    <s v="Laptop bag black"/>
    <n v="60"/>
    <n v="1970"/>
  </r>
  <r>
    <x v="2"/>
    <x v="2"/>
    <x v="1"/>
    <n v="44015"/>
    <d v="2020-06-23T00:00:00"/>
    <n v="8060"/>
    <s v="Liebher"/>
    <n v="109"/>
    <s v="Laptop bag red"/>
    <n v="70"/>
    <n v="2300"/>
  </r>
  <r>
    <x v="2"/>
    <x v="2"/>
    <x v="1"/>
    <n v="44017"/>
    <d v="2020-06-16T00:00:00"/>
    <n v="8060"/>
    <s v="Liebher"/>
    <n v="108"/>
    <s v="Laptop bag black"/>
    <n v="70"/>
    <n v="2300"/>
  </r>
  <r>
    <x v="2"/>
    <x v="2"/>
    <x v="1"/>
    <n v="44017"/>
    <d v="2020-06-25T00:00:00"/>
    <n v="8060"/>
    <s v="Liebher"/>
    <n v="109"/>
    <s v="Laptop bag red"/>
    <n v="70"/>
    <n v="2300"/>
  </r>
  <r>
    <x v="2"/>
    <x v="2"/>
    <x v="1"/>
    <n v="44016"/>
    <d v="2020-06-16T00:00:00"/>
    <n v="8050"/>
    <s v="Aida GmbH"/>
    <n v="108"/>
    <s v="Laptop bag black"/>
    <n v="70"/>
    <n v="2300"/>
  </r>
  <r>
    <x v="2"/>
    <x v="2"/>
    <x v="1"/>
    <n v="44016"/>
    <d v="2020-06-18T00:00:00"/>
    <n v="8050"/>
    <s v="Aida GmbH"/>
    <n v="109"/>
    <s v="Laptop bag red"/>
    <n v="60"/>
    <n v="1970"/>
  </r>
  <r>
    <x v="2"/>
    <x v="2"/>
    <x v="1"/>
    <n v="44016"/>
    <d v="2020-06-23T00:00:00"/>
    <n v="8050"/>
    <s v="Aida GmbH"/>
    <n v="110"/>
    <s v="Smartphone case diamond"/>
    <n v="50"/>
    <n v="3520"/>
  </r>
  <r>
    <x v="2"/>
    <x v="2"/>
    <x v="1"/>
    <n v="48097"/>
    <d v="2020-06-29T00:00:00"/>
    <n v="8060"/>
    <s v="Liebher"/>
    <n v="109"/>
    <s v="Laptop bag red"/>
    <n v="60"/>
    <n v="1970"/>
  </r>
  <r>
    <x v="2"/>
    <x v="2"/>
    <x v="1"/>
    <n v="48097"/>
    <d v="2020-06-30T00:00:00"/>
    <n v="8060"/>
    <s v="Liebher"/>
    <n v="110"/>
    <s v="Smartphone case diamond"/>
    <n v="70"/>
    <n v="4930"/>
  </r>
  <r>
    <x v="2"/>
    <x v="2"/>
    <x v="1"/>
    <n v="48099"/>
    <d v="2020-06-15T00:00:00"/>
    <n v="8050"/>
    <s v="Aida GmbH"/>
    <n v="109"/>
    <s v="Laptop bag red"/>
    <n v="60"/>
    <n v="1970"/>
  </r>
  <r>
    <x v="2"/>
    <x v="2"/>
    <x v="1"/>
    <n v="48099"/>
    <d v="2020-06-16T00:00:00"/>
    <n v="8050"/>
    <s v="Aida GmbH"/>
    <n v="110"/>
    <s v="Smartphone case diamond"/>
    <n v="60"/>
    <n v="4230"/>
  </r>
  <r>
    <x v="2"/>
    <x v="2"/>
    <x v="1"/>
    <n v="48099"/>
    <d v="2020-06-17T00:00:00"/>
    <n v="8050"/>
    <s v="Aida GmbH"/>
    <n v="111"/>
    <s v="Smartphone case simple"/>
    <n v="60"/>
    <n v="1410"/>
  </r>
  <r>
    <x v="2"/>
    <x v="2"/>
    <x v="1"/>
    <n v="48101"/>
    <d v="2020-06-18T00:00:00"/>
    <n v="8060"/>
    <s v="Liebher"/>
    <n v="109"/>
    <s v="Laptop bag red"/>
    <n v="60"/>
    <n v="1970"/>
  </r>
  <r>
    <x v="2"/>
    <x v="2"/>
    <x v="1"/>
    <n v="48101"/>
    <d v="2020-06-19T00:00:00"/>
    <n v="8060"/>
    <s v="Liebher"/>
    <n v="110"/>
    <s v="Smartphone case diamond"/>
    <n v="50"/>
    <n v="3520"/>
  </r>
  <r>
    <x v="2"/>
    <x v="2"/>
    <x v="1"/>
    <n v="45427"/>
    <d v="2020-06-20T00:00:00"/>
    <n v="8050"/>
    <s v="Aida GmbH"/>
    <n v="108"/>
    <s v="Laptop bag black"/>
    <n v="70"/>
    <n v="2300"/>
  </r>
  <r>
    <x v="2"/>
    <x v="2"/>
    <x v="1"/>
    <n v="45427"/>
    <d v="2020-06-21T00:00:00"/>
    <n v="8050"/>
    <s v="Aida GmbH"/>
    <n v="109"/>
    <s v="Laptop bag red"/>
    <n v="60"/>
    <n v="1970"/>
  </r>
  <r>
    <x v="2"/>
    <x v="2"/>
    <x v="1"/>
    <n v="45429"/>
    <d v="2020-06-22T00:00:00"/>
    <n v="8060"/>
    <s v="Liebher"/>
    <n v="108"/>
    <s v="Laptop bag black"/>
    <n v="80"/>
    <n v="2630"/>
  </r>
  <r>
    <x v="2"/>
    <x v="2"/>
    <x v="1"/>
    <n v="45429"/>
    <d v="2020-06-23T00:00:00"/>
    <n v="8060"/>
    <s v="Liebher"/>
    <n v="109"/>
    <s v="Laptop bag red"/>
    <n v="80"/>
    <n v="2630"/>
  </r>
  <r>
    <x v="2"/>
    <x v="2"/>
    <x v="1"/>
    <n v="45429"/>
    <d v="2020-06-24T00:00:00"/>
    <n v="8060"/>
    <s v="Liebher"/>
    <n v="110"/>
    <s v="Smartphone case diamond"/>
    <n v="50"/>
    <n v="3520"/>
  </r>
  <r>
    <x v="2"/>
    <x v="2"/>
    <x v="1"/>
    <n v="45431"/>
    <d v="2020-06-25T00:00:00"/>
    <n v="8050"/>
    <s v="Aida GmbH"/>
    <n v="111"/>
    <s v="Smartphone case simple"/>
    <n v="60"/>
    <n v="1410"/>
  </r>
  <r>
    <x v="2"/>
    <x v="2"/>
    <x v="1"/>
    <n v="45431"/>
    <d v="2020-06-26T00:00:00"/>
    <n v="8050"/>
    <s v="Aida GmbH"/>
    <n v="108"/>
    <s v="Laptop bag black"/>
    <n v="60"/>
    <n v="19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706981-64AD-4D45-9A92-AC0D4DF54EC3}" name="PivotTable1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9" firstHeaderRow="1" firstDataRow="1" firstDataCol="1" rowPageCount="1" colPageCount="1"/>
  <pivotFields count="11">
    <pivotField axis="axisRow" showAll="0">
      <items count="4">
        <item x="0"/>
        <item x="1"/>
        <item x="2"/>
        <item t="default"/>
      </items>
    </pivotField>
    <pivotField axis="axisPage" multipleItemSelectionAllowed="1" showAll="0">
      <items count="4">
        <item x="2"/>
        <item x="1"/>
        <item x="0"/>
        <item t="default"/>
      </items>
    </pivotField>
    <pivotField axis="axisRow" showAll="0">
      <items count="3">
        <item x="0"/>
        <item x="1"/>
        <item t="default"/>
      </items>
    </pivotField>
    <pivotField showAll="0"/>
    <pivotField numFmtId="14" showAll="0"/>
    <pivotField showAll="0"/>
    <pivotField showAll="0"/>
    <pivotField showAll="0"/>
    <pivotField showAll="0"/>
    <pivotField showAll="0"/>
    <pivotField dataField="1" showAll="0"/>
  </pivotFields>
  <rowFields count="2">
    <field x="2"/>
    <field x="0"/>
  </rowFields>
  <rowItems count="6">
    <i>
      <x/>
    </i>
    <i r="1">
      <x/>
    </i>
    <i r="1">
      <x v="1"/>
    </i>
    <i>
      <x v="1"/>
    </i>
    <i r="1">
      <x v="2"/>
    </i>
    <i t="grand">
      <x/>
    </i>
  </rowItems>
  <colItems count="1">
    <i/>
  </colItems>
  <pageFields count="1">
    <pageField fld="1" hier="-1"/>
  </pageFields>
  <dataFields count="1">
    <dataField name="Sum of Sales USD"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F4E1A9-BED1-4574-93D1-05A7AADA599F}" name="AggregateRegionData"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D21" firstHeaderRow="1" firstDataRow="2" firstDataCol="1"/>
  <pivotFields count="12">
    <pivotField showAll="0"/>
    <pivotField showAll="0">
      <items count="4">
        <item h="1" x="2"/>
        <item h="1" x="1"/>
        <item x="0"/>
        <item t="default"/>
      </items>
    </pivotField>
    <pivotField axis="axisCol" showAll="0">
      <items count="3">
        <item x="0"/>
        <item x="1"/>
        <item t="default"/>
      </items>
    </pivotField>
    <pivotField showAll="0"/>
    <pivotField numFmtId="14" showAll="0"/>
    <pivotField showAll="0"/>
    <pivotField showAll="0"/>
    <pivotField showAll="0"/>
    <pivotField axis="axisRow" showAll="0">
      <items count="17">
        <item x="7"/>
        <item x="13"/>
        <item x="6"/>
        <item x="8"/>
        <item x="9"/>
        <item x="11"/>
        <item x="10"/>
        <item x="5"/>
        <item x="4"/>
        <item x="14"/>
        <item x="15"/>
        <item x="12"/>
        <item x="3"/>
        <item x="2"/>
        <item x="1"/>
        <item x="0"/>
        <item t="default"/>
      </items>
    </pivotField>
    <pivotField showAll="0"/>
    <pivotField showAll="0"/>
    <pivotField dataField="1" dragToRow="0" dragToCol="0" dragToPage="0" showAll="0" defaultSubtotal="0"/>
  </pivotFields>
  <rowFields count="1">
    <field x="8"/>
  </rowFields>
  <rowItems count="17">
    <i>
      <x/>
    </i>
    <i>
      <x v="1"/>
    </i>
    <i>
      <x v="2"/>
    </i>
    <i>
      <x v="3"/>
    </i>
    <i>
      <x v="4"/>
    </i>
    <i>
      <x v="5"/>
    </i>
    <i>
      <x v="6"/>
    </i>
    <i>
      <x v="7"/>
    </i>
    <i>
      <x v="8"/>
    </i>
    <i>
      <x v="9"/>
    </i>
    <i>
      <x v="10"/>
    </i>
    <i>
      <x v="11"/>
    </i>
    <i>
      <x v="12"/>
    </i>
    <i>
      <x v="13"/>
    </i>
    <i>
      <x v="14"/>
    </i>
    <i>
      <x v="15"/>
    </i>
    <i t="grand">
      <x/>
    </i>
  </rowItems>
  <colFields count="1">
    <field x="2"/>
  </colFields>
  <colItems count="3">
    <i>
      <x/>
    </i>
    <i>
      <x v="1"/>
    </i>
    <i t="grand">
      <x/>
    </i>
  </colItems>
  <dataFields count="1">
    <dataField name="Sum of Total Sales" fld="11" baseField="8" baseItem="3" numFmtId="165"/>
  </dataFields>
  <formats count="2">
    <format dxfId="17">
      <pivotArea collapsedLevelsAreSubtotals="1" fieldPosition="0">
        <references count="2">
          <reference field="2" count="1" selected="0">
            <x v="0"/>
          </reference>
          <reference field="8" count="1">
            <x v="3"/>
          </reference>
        </references>
      </pivotArea>
    </format>
    <format dxfId="16">
      <pivotArea outline="0" fieldPosition="0">
        <references count="1">
          <reference field="4294967294" count="1">
            <x v="0"/>
          </reference>
        </references>
      </pivotArea>
    </format>
  </format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4E7792-5984-453F-A463-F67C3B197A1E}"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Region">
  <location ref="A19:C36" firstHeaderRow="0" firstDataRow="1" firstDataCol="1"/>
  <pivotFields count="12">
    <pivotField showAll="0">
      <items count="4">
        <item x="0"/>
        <item x="1"/>
        <item x="2"/>
        <item t="default"/>
      </items>
    </pivotField>
    <pivotField showAll="0"/>
    <pivotField showAll="0">
      <items count="3">
        <item x="0"/>
        <item x="1"/>
        <item t="default"/>
      </items>
    </pivotField>
    <pivotField showAll="0"/>
    <pivotField numFmtId="14" showAll="0"/>
    <pivotField showAll="0"/>
    <pivotField showAll="0"/>
    <pivotField axis="axisRow" showAll="0">
      <items count="17">
        <item x="4"/>
        <item x="5"/>
        <item x="0"/>
        <item x="1"/>
        <item x="2"/>
        <item x="6"/>
        <item x="3"/>
        <item x="7"/>
        <item x="13"/>
        <item x="14"/>
        <item x="15"/>
        <item x="8"/>
        <item x="9"/>
        <item x="12"/>
        <item x="10"/>
        <item x="11"/>
        <item t="default"/>
      </items>
    </pivotField>
    <pivotField showAll="0"/>
    <pivotField dataField="1" showAll="0"/>
    <pivotField dataField="1" showAll="0"/>
    <pivotField dragToRow="0" dragToCol="0" dragToPage="0" showAll="0" defaultSubtotal="0"/>
  </pivotFields>
  <rowFields count="1">
    <field x="7"/>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Sum of Quantity" fld="9" baseField="0" baseItem="0"/>
    <dataField name="Sum of Sales USD"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23ED01-88C6-49C6-94AF-D5941CD611D7}"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Region">
  <location ref="A3:C6" firstHeaderRow="0" firstDataRow="1" firstDataCol="1"/>
  <pivotFields count="12">
    <pivotField showAll="0"/>
    <pivotField showAll="0"/>
    <pivotField axis="axisRow" dataField="1" showAll="0">
      <items count="3">
        <item x="0"/>
        <item x="1"/>
        <item t="default"/>
      </items>
    </pivotField>
    <pivotField showAll="0"/>
    <pivotField numFmtId="14" showAll="0"/>
    <pivotField showAll="0"/>
    <pivotField showAll="0"/>
    <pivotField showAll="0"/>
    <pivotField showAll="0"/>
    <pivotField showAll="0"/>
    <pivotField dataField="1" showAll="0"/>
    <pivotField dragToRow="0" dragToCol="0" dragToPage="0" showAll="0" defaultSubtotal="0"/>
  </pivotFields>
  <rowFields count="1">
    <field x="2"/>
  </rowFields>
  <rowItems count="3">
    <i>
      <x/>
    </i>
    <i>
      <x v="1"/>
    </i>
    <i t="grand">
      <x/>
    </i>
  </rowItems>
  <colFields count="1">
    <field x="-2"/>
  </colFields>
  <colItems count="2">
    <i>
      <x/>
    </i>
    <i i="1">
      <x v="1"/>
    </i>
  </colItems>
  <dataFields count="2">
    <dataField name="Number of transaction" fld="2" subtotal="count" baseField="0" baseItem="0"/>
    <dataField name=" Sales USD" fld="10" baseField="0" baseItem="0"/>
  </dataFields>
  <formats count="1">
    <format dxfId="8">
      <pivotArea collapsedLevelsAreSubtotals="1" fieldPosition="0">
        <references count="2">
          <reference field="4294967294" count="1" selected="0">
            <x v="1"/>
          </reference>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760F91-CCD9-4C7E-8DC2-3B09841F678F}"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Region" colHeaderCaption="Sales">
  <location ref="A10:D15" firstHeaderRow="1" firstDataRow="2" firstDataCol="1"/>
  <pivotFields count="12">
    <pivotField axis="axisRow" showAll="0">
      <items count="4">
        <item x="0"/>
        <item x="1"/>
        <item x="2"/>
        <item t="default"/>
      </items>
    </pivotField>
    <pivotField showAll="0"/>
    <pivotField axis="axisCol" showAll="0">
      <items count="3">
        <item x="0"/>
        <item x="1"/>
        <item t="default"/>
      </items>
    </pivotField>
    <pivotField showAll="0"/>
    <pivotField numFmtId="14" showAll="0"/>
    <pivotField showAll="0"/>
    <pivotField showAll="0"/>
    <pivotField showAll="0"/>
    <pivotField showAll="0"/>
    <pivotField showAll="0"/>
    <pivotField dataField="1" showAll="0"/>
    <pivotField dragToRow="0" dragToCol="0" dragToPage="0" showAll="0" defaultSubtotal="0"/>
  </pivotFields>
  <rowFields count="1">
    <field x="0"/>
  </rowFields>
  <rowItems count="4">
    <i>
      <x/>
    </i>
    <i>
      <x v="1"/>
    </i>
    <i>
      <x v="2"/>
    </i>
    <i t="grand">
      <x/>
    </i>
  </rowItems>
  <colFields count="1">
    <field x="2"/>
  </colFields>
  <colItems count="3">
    <i>
      <x/>
    </i>
    <i>
      <x v="1"/>
    </i>
    <i t="grand">
      <x/>
    </i>
  </colItems>
  <dataFields count="1">
    <dataField name=" Sales USD" fld="10" baseField="0" baseItem="0"/>
  </dataField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835802-A657-4EE2-A048-3E81D4F8C106}" name="PivotTable1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rowHeaderCaption="Region">
  <location ref="E36:F39" firstHeaderRow="1" firstDataRow="1" firstDataCol="1"/>
  <pivotFields count="12">
    <pivotField showAll="0">
      <items count="4">
        <item x="0"/>
        <item x="1"/>
        <item x="2"/>
        <item t="default"/>
      </items>
    </pivotField>
    <pivotField showAll="0">
      <items count="4">
        <item x="2"/>
        <item x="1"/>
        <item x="0"/>
        <item t="default"/>
      </items>
    </pivotField>
    <pivotField showAll="0">
      <items count="3">
        <item x="0"/>
        <item h="1" x="1"/>
        <item t="default"/>
      </items>
    </pivotField>
    <pivotField showAll="0"/>
    <pivotField numFmtId="14" showAll="0"/>
    <pivotField showAll="0">
      <items count="5">
        <item x="0"/>
        <item x="1"/>
        <item x="3"/>
        <item x="2"/>
        <item t="default"/>
      </items>
    </pivotField>
    <pivotField axis="axisRow" showAll="0">
      <items count="5">
        <item x="3"/>
        <item x="0"/>
        <item x="1"/>
        <item x="2"/>
        <item t="default"/>
      </items>
    </pivotField>
    <pivotField showAll="0">
      <items count="17">
        <item x="4"/>
        <item x="5"/>
        <item x="0"/>
        <item x="1"/>
        <item x="2"/>
        <item x="6"/>
        <item x="3"/>
        <item x="7"/>
        <item x="13"/>
        <item x="14"/>
        <item x="15"/>
        <item x="8"/>
        <item x="9"/>
        <item x="12"/>
        <item x="10"/>
        <item x="11"/>
        <item t="default"/>
      </items>
    </pivotField>
    <pivotField showAll="0">
      <items count="17">
        <item x="7"/>
        <item x="13"/>
        <item x="6"/>
        <item x="8"/>
        <item x="9"/>
        <item x="11"/>
        <item x="10"/>
        <item x="5"/>
        <item x="4"/>
        <item x="14"/>
        <item x="15"/>
        <item x="12"/>
        <item x="3"/>
        <item x="2"/>
        <item x="1"/>
        <item x="0"/>
        <item t="default"/>
      </items>
    </pivotField>
    <pivotField showAll="0"/>
    <pivotField dataField="1" showAll="0"/>
    <pivotField dragToRow="0" dragToCol="0" dragToPage="0" showAll="0" defaultSubtotal="0"/>
  </pivotFields>
  <rowFields count="1">
    <field x="6"/>
  </rowFields>
  <rowItems count="3">
    <i>
      <x v="1"/>
    </i>
    <i>
      <x v="2"/>
    </i>
    <i t="grand">
      <x/>
    </i>
  </rowItems>
  <colItems count="1">
    <i/>
  </colItems>
  <dataFields count="1">
    <dataField name="Sum of Sales USD" fld="10" baseField="0" baseItem="0"/>
  </dataFields>
  <chartFormats count="4">
    <chartFormat chart="6"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6" count="1" selected="0">
            <x v="1"/>
          </reference>
        </references>
      </pivotArea>
    </chartFormat>
    <chartFormat chart="8" format="6">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653D4B-A592-45B0-AE1A-365C139E4B68}"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Region">
  <location ref="F19:G33" firstHeaderRow="1" firstDataRow="1" firstDataCol="1"/>
  <pivotFields count="12">
    <pivotField showAll="0"/>
    <pivotField showAll="0">
      <items count="4">
        <item x="2"/>
        <item x="1"/>
        <item x="0"/>
        <item t="default"/>
      </items>
    </pivotField>
    <pivotField showAll="0">
      <items count="3">
        <item x="0"/>
        <item h="1" x="1"/>
        <item t="default"/>
      </items>
    </pivotField>
    <pivotField showAll="0"/>
    <pivotField numFmtId="14" showAll="0"/>
    <pivotField showAll="0"/>
    <pivotField showAll="0"/>
    <pivotField showAll="0"/>
    <pivotField axis="axisRow" dataField="1" showAll="0">
      <items count="17">
        <item x="7"/>
        <item x="13"/>
        <item x="6"/>
        <item x="8"/>
        <item x="9"/>
        <item x="11"/>
        <item x="10"/>
        <item x="5"/>
        <item x="4"/>
        <item x="14"/>
        <item x="15"/>
        <item x="12"/>
        <item x="3"/>
        <item x="2"/>
        <item x="1"/>
        <item x="0"/>
        <item t="default"/>
      </items>
    </pivotField>
    <pivotField showAll="0"/>
    <pivotField showAll="0"/>
    <pivotField dragToRow="0" dragToCol="0" dragToPage="0" showAll="0" defaultSubtotal="0"/>
  </pivotFields>
  <rowFields count="1">
    <field x="8"/>
  </rowFields>
  <rowItems count="14">
    <i>
      <x/>
    </i>
    <i>
      <x v="2"/>
    </i>
    <i>
      <x v="3"/>
    </i>
    <i>
      <x v="4"/>
    </i>
    <i>
      <x v="5"/>
    </i>
    <i>
      <x v="6"/>
    </i>
    <i>
      <x v="7"/>
    </i>
    <i>
      <x v="8"/>
    </i>
    <i>
      <x v="11"/>
    </i>
    <i>
      <x v="12"/>
    </i>
    <i>
      <x v="13"/>
    </i>
    <i>
      <x v="14"/>
    </i>
    <i>
      <x v="15"/>
    </i>
    <i t="grand">
      <x/>
    </i>
  </rowItems>
  <colItems count="1">
    <i/>
  </colItems>
  <dataFields count="1">
    <dataField name="Count of Product Description" fld="8"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A762B7-CD81-4EA0-81F2-DECA1D78EC61}"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Region">
  <location ref="F10:I15" firstHeaderRow="1" firstDataRow="2" firstDataCol="1"/>
  <pivotFields count="12">
    <pivotField axis="axisRow" showAll="0">
      <items count="4">
        <item x="0"/>
        <item x="1"/>
        <item x="2"/>
        <item t="default"/>
      </items>
    </pivotField>
    <pivotField showAll="0"/>
    <pivotField axis="axisCol" showAll="0">
      <items count="3">
        <item x="0"/>
        <item x="1"/>
        <item t="default"/>
      </items>
    </pivotField>
    <pivotField showAll="0"/>
    <pivotField numFmtId="14" showAll="0"/>
    <pivotField showAll="0"/>
    <pivotField showAll="0"/>
    <pivotField showAll="0"/>
    <pivotField showAll="0"/>
    <pivotField dataField="1" showAll="0"/>
    <pivotField showAll="0"/>
    <pivotField dragToRow="0" dragToCol="0" dragToPage="0" showAll="0" defaultSubtotal="0"/>
  </pivotFields>
  <rowFields count="1">
    <field x="0"/>
  </rowFields>
  <rowItems count="4">
    <i>
      <x/>
    </i>
    <i>
      <x v="1"/>
    </i>
    <i>
      <x v="2"/>
    </i>
    <i t="grand">
      <x/>
    </i>
  </rowItems>
  <colFields count="1">
    <field x="2"/>
  </colFields>
  <colItems count="3">
    <i>
      <x/>
    </i>
    <i>
      <x v="1"/>
    </i>
    <i t="grand">
      <x/>
    </i>
  </colItems>
  <dataFields count="1">
    <dataField name="Sum of Quantit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AF8B309-1C79-4862-B85E-0C09B50B2347}"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Region">
  <location ref="E2:F4" firstHeaderRow="1" firstDataRow="1" firstDataCol="1"/>
  <pivotFields count="12">
    <pivotField showAll="0"/>
    <pivotField showAll="0">
      <items count="4">
        <item x="2"/>
        <item x="1"/>
        <item x="0"/>
        <item t="default"/>
      </items>
    </pivotField>
    <pivotField axis="axisRow" dataField="1" showAll="0">
      <items count="3">
        <item x="0"/>
        <item h="1" x="1"/>
        <item t="default"/>
      </items>
    </pivotField>
    <pivotField showAll="0"/>
    <pivotField numFmtId="14" showAll="0"/>
    <pivotField showAll="0"/>
    <pivotField showAll="0"/>
    <pivotField showAll="0"/>
    <pivotField showAll="0"/>
    <pivotField showAll="0"/>
    <pivotField showAll="0"/>
    <pivotField dragToRow="0" dragToCol="0" dragToPage="0" showAll="0" defaultSubtotal="0"/>
  </pivotFields>
  <rowFields count="1">
    <field x="2"/>
  </rowFields>
  <rowItems count="2">
    <i>
      <x/>
    </i>
    <i t="grand">
      <x/>
    </i>
  </rowItems>
  <colItems count="1">
    <i/>
  </colItems>
  <dataFields count="1">
    <dataField name="Number of transaction"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F9C4785-261D-448B-AA1D-5D5C627CE40A}"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Region">
  <location ref="I19:J33" firstHeaderRow="1" firstDataRow="1" firstDataCol="1"/>
  <pivotFields count="12">
    <pivotField showAll="0"/>
    <pivotField showAll="0">
      <items count="4">
        <item x="2"/>
        <item x="1"/>
        <item x="0"/>
        <item t="default"/>
      </items>
    </pivotField>
    <pivotField showAll="0">
      <items count="3">
        <item x="0"/>
        <item h="1" x="1"/>
        <item t="default"/>
      </items>
    </pivotField>
    <pivotField showAll="0"/>
    <pivotField numFmtId="14" showAll="0"/>
    <pivotField showAll="0"/>
    <pivotField showAll="0"/>
    <pivotField showAll="0"/>
    <pivotField axis="axisRow" dataField="1" showAll="0">
      <items count="17">
        <item x="7"/>
        <item x="13"/>
        <item x="6"/>
        <item x="8"/>
        <item x="9"/>
        <item x="11"/>
        <item x="10"/>
        <item x="5"/>
        <item x="4"/>
        <item x="14"/>
        <item x="15"/>
        <item x="12"/>
        <item x="3"/>
        <item x="2"/>
        <item x="1"/>
        <item x="0"/>
        <item t="default"/>
      </items>
    </pivotField>
    <pivotField showAll="0"/>
    <pivotField showAll="0"/>
    <pivotField dragToRow="0" dragToCol="0" dragToPage="0" showAll="0" defaultSubtotal="0"/>
  </pivotFields>
  <rowFields count="1">
    <field x="8"/>
  </rowFields>
  <rowItems count="14">
    <i>
      <x/>
    </i>
    <i>
      <x v="2"/>
    </i>
    <i>
      <x v="3"/>
    </i>
    <i>
      <x v="4"/>
    </i>
    <i>
      <x v="5"/>
    </i>
    <i>
      <x v="6"/>
    </i>
    <i>
      <x v="7"/>
    </i>
    <i>
      <x v="8"/>
    </i>
    <i>
      <x v="11"/>
    </i>
    <i>
      <x v="12"/>
    </i>
    <i>
      <x v="13"/>
    </i>
    <i>
      <x v="14"/>
    </i>
    <i>
      <x v="15"/>
    </i>
    <i t="grand">
      <x/>
    </i>
  </rowItems>
  <colItems count="1">
    <i/>
  </colItems>
  <dataFields count="1">
    <dataField name="Count of Product Description" fld="8" subtotal="count"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A135EB1-6F67-4170-85C9-E7E5240C0689}" name="PivotTable2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rowHeaderCaption="Region">
  <location ref="H38:I52" firstHeaderRow="1" firstDataRow="1" firstDataCol="1"/>
  <pivotFields count="12">
    <pivotField showAll="0"/>
    <pivotField showAll="0">
      <items count="4">
        <item x="2"/>
        <item x="1"/>
        <item x="0"/>
        <item t="default"/>
      </items>
    </pivotField>
    <pivotField showAll="0">
      <items count="3">
        <item x="0"/>
        <item h="1" x="1"/>
        <item t="default"/>
      </items>
    </pivotField>
    <pivotField showAll="0"/>
    <pivotField numFmtId="14" showAll="0"/>
    <pivotField showAll="0"/>
    <pivotField showAll="0"/>
    <pivotField axis="axisRow" showAll="0" sortType="ascending">
      <items count="17">
        <item x="4"/>
        <item x="5"/>
        <item x="0"/>
        <item x="1"/>
        <item x="2"/>
        <item x="6"/>
        <item x="3"/>
        <item x="7"/>
        <item x="13"/>
        <item x="14"/>
        <item x="15"/>
        <item x="8"/>
        <item x="9"/>
        <item x="12"/>
        <item x="10"/>
        <item x="11"/>
        <item t="default"/>
      </items>
      <autoSortScope>
        <pivotArea dataOnly="0" outline="0" fieldPosition="0">
          <references count="1">
            <reference field="4294967294" count="1" selected="0">
              <x v="0"/>
            </reference>
          </references>
        </pivotArea>
      </autoSortScope>
    </pivotField>
    <pivotField showAll="0">
      <items count="17">
        <item x="7"/>
        <item x="13"/>
        <item x="6"/>
        <item x="8"/>
        <item x="9"/>
        <item x="11"/>
        <item x="10"/>
        <item x="5"/>
        <item x="4"/>
        <item x="14"/>
        <item x="15"/>
        <item x="12"/>
        <item x="3"/>
        <item x="2"/>
        <item x="1"/>
        <item x="0"/>
        <item t="default"/>
      </items>
    </pivotField>
    <pivotField dataField="1" showAll="0"/>
    <pivotField showAll="0"/>
    <pivotField dragToRow="0" dragToCol="0" dragToPage="0" showAll="0" defaultSubtotal="0"/>
  </pivotFields>
  <rowFields count="1">
    <field x="7"/>
  </rowFields>
  <rowItems count="14">
    <i>
      <x v="12"/>
    </i>
    <i>
      <x v="13"/>
    </i>
    <i>
      <x v="11"/>
    </i>
    <i>
      <x v="7"/>
    </i>
    <i>
      <x v="1"/>
    </i>
    <i>
      <x v="5"/>
    </i>
    <i>
      <x v="14"/>
    </i>
    <i>
      <x v="15"/>
    </i>
    <i>
      <x/>
    </i>
    <i>
      <x v="6"/>
    </i>
    <i>
      <x v="4"/>
    </i>
    <i>
      <x v="2"/>
    </i>
    <i>
      <x v="3"/>
    </i>
    <i t="grand">
      <x/>
    </i>
  </rowItems>
  <colItems count="1">
    <i/>
  </colItems>
  <dataFields count="1">
    <dataField name="Sum of Quantity" fld="9"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3462D52-473C-43A7-B1C8-55E235AF1640}"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Region">
  <location ref="E2:E3" firstHeaderRow="1" firstDataRow="1" firstDataCol="0"/>
  <pivotFields count="12">
    <pivotField showAll="0"/>
    <pivotField showAll="0">
      <items count="4">
        <item x="2"/>
        <item x="1"/>
        <item x="0"/>
        <item t="default"/>
      </items>
    </pivotField>
    <pivotField showAll="0">
      <items count="3">
        <item x="0"/>
        <item h="1" x="1"/>
        <item t="default"/>
      </items>
    </pivotField>
    <pivotField showAll="0"/>
    <pivotField numFmtId="14" showAll="0"/>
    <pivotField showAll="0"/>
    <pivotField showAll="0"/>
    <pivotField showAll="0"/>
    <pivotField showAll="0"/>
    <pivotField showAll="0"/>
    <pivotField dataField="1" showAll="0"/>
    <pivotField dragToRow="0" dragToCol="0" dragToPage="0" showAll="0" defaultSubtotal="0"/>
  </pivotFields>
  <rowItems count="1">
    <i/>
  </rowItems>
  <colItems count="1">
    <i/>
  </colItems>
  <dataFields count="1">
    <dataField name="Total Sales (USD)" fld="10" baseField="0" baseItem="0" numFmtId="164"/>
  </dataFields>
  <formats count="6">
    <format dxfId="7">
      <pivotArea outline="0" collapsedLevelsAreSubtotals="1" fieldPosition="0"/>
    </format>
    <format dxfId="6">
      <pivotArea outline="0" collapsedLevelsAreSubtotals="1" fieldPosition="0"/>
    </format>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4C82156-55BF-4F80-8113-C5D7C2899CC6}" sourceName="Region">
  <pivotTables>
    <pivotTable tabId="4" name="PivotTable15"/>
    <pivotTable tabId="4" name="PivotTable16"/>
    <pivotTable tabId="5" name="PivotTable17"/>
    <pivotTable tabId="4" name="PivotTable18"/>
    <pivotTable tabId="4" name="PivotTable19"/>
    <pivotTable tabId="4" name="PivotTable20"/>
  </pivotTables>
  <data>
    <tabular pivotCacheId="1533399412">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92A95A7-386B-45D4-91E7-861372DB8648}" cache="Slicer_Region" caption="Region"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B26C6D-E106-4C4D-A1B9-2098BE89EFE7}" name="TSales" displayName="TSales" ref="A2:K107" totalsRowShown="0" headerRowDxfId="11" headerRowBorderDxfId="10" headerRowCellStyle="Heading 1">
  <autoFilter ref="A2:K107" xr:uid="{6A1F7CC2-A0DA-4C82-A07C-2C7780E1AE9D}"/>
  <tableColumns count="11">
    <tableColumn id="1" xr3:uid="{D576F756-CB10-4910-B9B3-16B29652B72C}" name="Company"/>
    <tableColumn id="2" xr3:uid="{A2AF8EBA-A2CC-484A-BD7B-91F5145AB2D0}" name="Company Name"/>
    <tableColumn id="3" xr3:uid="{C651898B-EB74-48D8-9083-CC3274E854EF}" name="Region"/>
    <tableColumn id="4" xr3:uid="{C7297D2E-B2B8-4B5E-9AAF-A3D317AC0733}" name="Sales Document"/>
    <tableColumn id="5" xr3:uid="{4C71A64E-D411-4FEF-A20B-5D4D9788A2B1}" name="Document Date" dataDxfId="9"/>
    <tableColumn id="6" xr3:uid="{36B4FD07-79D4-4907-ADF0-6B693D561C29}" name="Customer Code"/>
    <tableColumn id="7" xr3:uid="{176369C0-6F4B-42C9-9513-ABC5C5C5E851}" name="Customer Name"/>
    <tableColumn id="8" xr3:uid="{3FABA00B-FB64-4EAD-907A-674B6DC5B4D1}" name="Product Code"/>
    <tableColumn id="9" xr3:uid="{7811F9D6-370C-4A56-A448-3A0D3CB00DBE}" name="Product Description"/>
    <tableColumn id="10" xr3:uid="{CAC033E9-EC92-423B-929F-3256C5FBB7C7}" name="Quantity"/>
    <tableColumn id="11" xr3:uid="{3FFAA6A2-28E4-4E9F-B5ED-3F2BC60A6998}" name="Sales USD"/>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0FD828E-5C31-4B8F-98AA-C88325F33740}" name="Table3" displayName="Table3" ref="B4:C14" totalsRowShown="0" headerRowDxfId="15" dataDxfId="14">
  <autoFilter ref="B4:C14" xr:uid="{B0FD828E-5C31-4B8F-98AA-C88325F33740}"/>
  <tableColumns count="2">
    <tableColumn id="1" xr3:uid="{4B63B0AE-3359-4DA9-AEAA-EBDAFDCE34F7}" name="Data points" dataDxfId="13"/>
    <tableColumn id="2" xr3:uid="{2C4AC6E9-8760-4ECB-99F7-7094919272F5}" name="X^2" dataDxfId="12">
      <calculatedColumnFormula>B5^2</calculatedColumnFormula>
    </tableColumn>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 Id="rId9"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E3A02-8F84-4ADB-B1A0-EAD08F28683C}">
  <dimension ref="A2:K107"/>
  <sheetViews>
    <sheetView topLeftCell="I1" workbookViewId="0">
      <selection activeCell="E12" sqref="E12"/>
    </sheetView>
  </sheetViews>
  <sheetFormatPr defaultColWidth="29.140625" defaultRowHeight="12.75" x14ac:dyDescent="0.2"/>
  <sheetData>
    <row r="2" spans="1:11" ht="16.5" thickBot="1" x14ac:dyDescent="0.3">
      <c r="A2" s="2" t="s">
        <v>38</v>
      </c>
      <c r="B2" s="3" t="s">
        <v>37</v>
      </c>
      <c r="C2" s="2" t="s">
        <v>36</v>
      </c>
      <c r="D2" s="3" t="s">
        <v>35</v>
      </c>
      <c r="E2" s="2" t="s">
        <v>34</v>
      </c>
      <c r="F2" s="3" t="s">
        <v>33</v>
      </c>
      <c r="G2" s="3" t="s">
        <v>32</v>
      </c>
      <c r="H2" s="3" t="s">
        <v>31</v>
      </c>
      <c r="I2" s="2" t="s">
        <v>30</v>
      </c>
      <c r="J2" s="2" t="s">
        <v>29</v>
      </c>
      <c r="K2" s="2" t="s">
        <v>28</v>
      </c>
    </row>
    <row r="3" spans="1:11" ht="13.5" thickTop="1" x14ac:dyDescent="0.2">
      <c r="A3" t="s">
        <v>24</v>
      </c>
      <c r="B3" t="s">
        <v>23</v>
      </c>
      <c r="C3" t="s">
        <v>11</v>
      </c>
      <c r="D3">
        <v>66030</v>
      </c>
      <c r="E3" s="1">
        <v>43983</v>
      </c>
      <c r="F3">
        <v>8010</v>
      </c>
      <c r="G3" t="s">
        <v>10</v>
      </c>
      <c r="H3">
        <v>103</v>
      </c>
      <c r="I3" t="s">
        <v>22</v>
      </c>
      <c r="J3">
        <v>120</v>
      </c>
      <c r="K3">
        <v>1440</v>
      </c>
    </row>
    <row r="4" spans="1:11" x14ac:dyDescent="0.2">
      <c r="A4" t="s">
        <v>24</v>
      </c>
      <c r="B4" t="s">
        <v>23</v>
      </c>
      <c r="C4" t="s">
        <v>11</v>
      </c>
      <c r="D4">
        <v>66030</v>
      </c>
      <c r="E4" s="1">
        <v>43984</v>
      </c>
      <c r="F4">
        <v>8010</v>
      </c>
      <c r="G4" t="s">
        <v>10</v>
      </c>
      <c r="H4">
        <v>104</v>
      </c>
      <c r="I4" t="s">
        <v>27</v>
      </c>
      <c r="J4">
        <v>150</v>
      </c>
      <c r="K4">
        <v>1800</v>
      </c>
    </row>
    <row r="5" spans="1:11" x14ac:dyDescent="0.2">
      <c r="A5" t="s">
        <v>24</v>
      </c>
      <c r="B5" t="s">
        <v>23</v>
      </c>
      <c r="C5" t="s">
        <v>11</v>
      </c>
      <c r="D5">
        <v>66032</v>
      </c>
      <c r="E5" s="1">
        <v>43983</v>
      </c>
      <c r="F5">
        <v>8010</v>
      </c>
      <c r="G5" t="s">
        <v>10</v>
      </c>
      <c r="H5">
        <v>103</v>
      </c>
      <c r="I5" t="s">
        <v>22</v>
      </c>
      <c r="J5">
        <v>170</v>
      </c>
      <c r="K5">
        <v>2040</v>
      </c>
    </row>
    <row r="6" spans="1:11" x14ac:dyDescent="0.2">
      <c r="A6" t="s">
        <v>24</v>
      </c>
      <c r="B6" t="s">
        <v>23</v>
      </c>
      <c r="C6" t="s">
        <v>11</v>
      </c>
      <c r="D6">
        <v>66032</v>
      </c>
      <c r="E6" s="1">
        <v>43984</v>
      </c>
      <c r="F6">
        <v>8010</v>
      </c>
      <c r="G6" t="s">
        <v>10</v>
      </c>
      <c r="H6">
        <v>104</v>
      </c>
      <c r="I6" t="s">
        <v>27</v>
      </c>
      <c r="J6">
        <v>140</v>
      </c>
      <c r="K6">
        <v>1680</v>
      </c>
    </row>
    <row r="7" spans="1:11" x14ac:dyDescent="0.2">
      <c r="A7" t="s">
        <v>24</v>
      </c>
      <c r="B7" t="s">
        <v>23</v>
      </c>
      <c r="C7" t="s">
        <v>11</v>
      </c>
      <c r="D7">
        <v>66031</v>
      </c>
      <c r="E7" s="1">
        <v>43983</v>
      </c>
      <c r="F7">
        <v>8020</v>
      </c>
      <c r="G7" t="s">
        <v>19</v>
      </c>
      <c r="H7">
        <v>103</v>
      </c>
      <c r="I7" t="s">
        <v>22</v>
      </c>
      <c r="J7">
        <v>140</v>
      </c>
      <c r="K7">
        <v>1680</v>
      </c>
    </row>
    <row r="8" spans="1:11" x14ac:dyDescent="0.2">
      <c r="A8" t="s">
        <v>24</v>
      </c>
      <c r="B8" t="s">
        <v>23</v>
      </c>
      <c r="C8" t="s">
        <v>11</v>
      </c>
      <c r="D8">
        <v>66031</v>
      </c>
      <c r="E8" s="1">
        <v>43984</v>
      </c>
      <c r="F8">
        <v>8020</v>
      </c>
      <c r="G8" t="s">
        <v>19</v>
      </c>
      <c r="H8">
        <v>104</v>
      </c>
      <c r="I8" t="s">
        <v>27</v>
      </c>
      <c r="J8">
        <v>150</v>
      </c>
      <c r="K8">
        <v>1800</v>
      </c>
    </row>
    <row r="9" spans="1:11" x14ac:dyDescent="0.2">
      <c r="A9" t="s">
        <v>24</v>
      </c>
      <c r="B9" t="s">
        <v>23</v>
      </c>
      <c r="C9" t="s">
        <v>11</v>
      </c>
      <c r="D9">
        <v>66031</v>
      </c>
      <c r="E9" s="1">
        <v>43989</v>
      </c>
      <c r="F9">
        <v>8020</v>
      </c>
      <c r="G9" t="s">
        <v>19</v>
      </c>
      <c r="H9">
        <v>105</v>
      </c>
      <c r="I9" t="s">
        <v>26</v>
      </c>
      <c r="J9">
        <v>100</v>
      </c>
      <c r="K9">
        <v>1000</v>
      </c>
    </row>
    <row r="10" spans="1:11" x14ac:dyDescent="0.2">
      <c r="A10" t="s">
        <v>24</v>
      </c>
      <c r="B10" t="s">
        <v>23</v>
      </c>
      <c r="C10" t="s">
        <v>11</v>
      </c>
      <c r="D10">
        <v>68112</v>
      </c>
      <c r="E10" s="1">
        <v>43990</v>
      </c>
      <c r="F10">
        <v>8010</v>
      </c>
      <c r="G10" t="s">
        <v>10</v>
      </c>
      <c r="H10">
        <v>104</v>
      </c>
      <c r="I10" t="s">
        <v>27</v>
      </c>
      <c r="J10">
        <v>180</v>
      </c>
      <c r="K10">
        <v>2160</v>
      </c>
    </row>
    <row r="11" spans="1:11" x14ac:dyDescent="0.2">
      <c r="A11" t="s">
        <v>24</v>
      </c>
      <c r="B11" t="s">
        <v>23</v>
      </c>
      <c r="C11" t="s">
        <v>11</v>
      </c>
      <c r="D11">
        <v>68112</v>
      </c>
      <c r="E11" s="1">
        <v>43991</v>
      </c>
      <c r="F11">
        <v>8010</v>
      </c>
      <c r="G11" t="s">
        <v>10</v>
      </c>
      <c r="H11">
        <v>105</v>
      </c>
      <c r="I11" t="s">
        <v>26</v>
      </c>
      <c r="J11">
        <v>120</v>
      </c>
      <c r="K11">
        <v>1200</v>
      </c>
    </row>
    <row r="12" spans="1:11" x14ac:dyDescent="0.2">
      <c r="A12" t="s">
        <v>24</v>
      </c>
      <c r="B12" t="s">
        <v>23</v>
      </c>
      <c r="C12" t="s">
        <v>11</v>
      </c>
      <c r="D12">
        <v>68116</v>
      </c>
      <c r="E12" s="1">
        <v>43992</v>
      </c>
      <c r="F12">
        <v>8020</v>
      </c>
      <c r="G12" t="s">
        <v>19</v>
      </c>
      <c r="H12">
        <v>104</v>
      </c>
      <c r="I12" t="s">
        <v>27</v>
      </c>
      <c r="J12">
        <v>150</v>
      </c>
      <c r="K12">
        <v>1800</v>
      </c>
    </row>
    <row r="13" spans="1:11" x14ac:dyDescent="0.2">
      <c r="A13" t="s">
        <v>24</v>
      </c>
      <c r="B13" t="s">
        <v>23</v>
      </c>
      <c r="C13" t="s">
        <v>11</v>
      </c>
      <c r="D13">
        <v>68116</v>
      </c>
      <c r="E13" s="1">
        <v>43993</v>
      </c>
      <c r="F13">
        <v>8020</v>
      </c>
      <c r="G13" t="s">
        <v>19</v>
      </c>
      <c r="H13">
        <v>105</v>
      </c>
      <c r="I13" t="s">
        <v>26</v>
      </c>
      <c r="J13">
        <v>190</v>
      </c>
      <c r="K13">
        <v>1900</v>
      </c>
    </row>
    <row r="14" spans="1:11" x14ac:dyDescent="0.2">
      <c r="A14" t="s">
        <v>24</v>
      </c>
      <c r="B14" t="s">
        <v>23</v>
      </c>
      <c r="C14" t="s">
        <v>11</v>
      </c>
      <c r="D14">
        <v>68116</v>
      </c>
      <c r="E14" s="1">
        <v>43994</v>
      </c>
      <c r="F14">
        <v>8020</v>
      </c>
      <c r="G14" t="s">
        <v>19</v>
      </c>
      <c r="H14">
        <v>107</v>
      </c>
      <c r="I14" t="s">
        <v>25</v>
      </c>
      <c r="J14">
        <v>160</v>
      </c>
      <c r="K14">
        <v>800</v>
      </c>
    </row>
    <row r="15" spans="1:11" x14ac:dyDescent="0.2">
      <c r="A15" t="s">
        <v>24</v>
      </c>
      <c r="B15" t="s">
        <v>23</v>
      </c>
      <c r="C15" t="s">
        <v>11</v>
      </c>
      <c r="D15">
        <v>68116</v>
      </c>
      <c r="E15" s="1">
        <v>43995</v>
      </c>
      <c r="F15">
        <v>8010</v>
      </c>
      <c r="G15" t="s">
        <v>10</v>
      </c>
      <c r="H15">
        <v>104</v>
      </c>
      <c r="I15" t="s">
        <v>27</v>
      </c>
      <c r="J15">
        <v>160</v>
      </c>
      <c r="K15">
        <v>1920</v>
      </c>
    </row>
    <row r="16" spans="1:11" x14ac:dyDescent="0.2">
      <c r="A16" t="s">
        <v>24</v>
      </c>
      <c r="B16" t="s">
        <v>23</v>
      </c>
      <c r="C16" t="s">
        <v>11</v>
      </c>
      <c r="D16">
        <v>68116</v>
      </c>
      <c r="E16" s="1">
        <v>43996</v>
      </c>
      <c r="F16">
        <v>8010</v>
      </c>
      <c r="G16" t="s">
        <v>10</v>
      </c>
      <c r="H16">
        <v>105</v>
      </c>
      <c r="I16" t="s">
        <v>26</v>
      </c>
      <c r="J16">
        <v>190</v>
      </c>
      <c r="K16">
        <v>1900</v>
      </c>
    </row>
    <row r="17" spans="1:11" x14ac:dyDescent="0.2">
      <c r="A17" t="s">
        <v>24</v>
      </c>
      <c r="B17" t="s">
        <v>23</v>
      </c>
      <c r="C17" t="s">
        <v>11</v>
      </c>
      <c r="D17">
        <v>65662</v>
      </c>
      <c r="E17" s="1">
        <v>43997</v>
      </c>
      <c r="F17">
        <v>8020</v>
      </c>
      <c r="G17" t="s">
        <v>19</v>
      </c>
      <c r="H17">
        <v>103</v>
      </c>
      <c r="I17" t="s">
        <v>22</v>
      </c>
      <c r="J17">
        <v>120</v>
      </c>
      <c r="K17">
        <v>1440</v>
      </c>
    </row>
    <row r="18" spans="1:11" x14ac:dyDescent="0.2">
      <c r="A18" t="s">
        <v>24</v>
      </c>
      <c r="B18" t="s">
        <v>23</v>
      </c>
      <c r="C18" t="s">
        <v>11</v>
      </c>
      <c r="D18">
        <v>65662</v>
      </c>
      <c r="E18" s="1">
        <v>43998</v>
      </c>
      <c r="F18">
        <v>8020</v>
      </c>
      <c r="G18" t="s">
        <v>19</v>
      </c>
      <c r="H18">
        <v>104</v>
      </c>
      <c r="I18" t="s">
        <v>27</v>
      </c>
      <c r="J18">
        <v>110</v>
      </c>
      <c r="K18">
        <v>1320</v>
      </c>
    </row>
    <row r="19" spans="1:11" x14ac:dyDescent="0.2">
      <c r="A19" t="s">
        <v>24</v>
      </c>
      <c r="B19" t="s">
        <v>23</v>
      </c>
      <c r="C19" t="s">
        <v>11</v>
      </c>
      <c r="D19">
        <v>65666</v>
      </c>
      <c r="E19" s="1">
        <v>43984</v>
      </c>
      <c r="F19">
        <v>8010</v>
      </c>
      <c r="G19" t="s">
        <v>10</v>
      </c>
      <c r="H19">
        <v>103</v>
      </c>
      <c r="I19" t="s">
        <v>22</v>
      </c>
      <c r="J19">
        <v>120</v>
      </c>
      <c r="K19">
        <v>1440</v>
      </c>
    </row>
    <row r="20" spans="1:11" x14ac:dyDescent="0.2">
      <c r="A20" t="s">
        <v>24</v>
      </c>
      <c r="B20" t="s">
        <v>23</v>
      </c>
      <c r="C20" t="s">
        <v>11</v>
      </c>
      <c r="D20">
        <v>65666</v>
      </c>
      <c r="E20" s="1">
        <v>43985</v>
      </c>
      <c r="F20">
        <v>8010</v>
      </c>
      <c r="G20" t="s">
        <v>10</v>
      </c>
      <c r="H20">
        <v>104</v>
      </c>
      <c r="I20" t="s">
        <v>27</v>
      </c>
      <c r="J20">
        <v>140</v>
      </c>
      <c r="K20">
        <v>1680</v>
      </c>
    </row>
    <row r="21" spans="1:11" x14ac:dyDescent="0.2">
      <c r="A21" t="s">
        <v>24</v>
      </c>
      <c r="B21" t="s">
        <v>23</v>
      </c>
      <c r="C21" t="s">
        <v>11</v>
      </c>
      <c r="D21">
        <v>65666</v>
      </c>
      <c r="E21" s="1">
        <v>43986</v>
      </c>
      <c r="F21">
        <v>8010</v>
      </c>
      <c r="G21" t="s">
        <v>10</v>
      </c>
      <c r="H21">
        <v>105</v>
      </c>
      <c r="I21" t="s">
        <v>26</v>
      </c>
      <c r="J21">
        <v>160</v>
      </c>
      <c r="K21">
        <v>1600</v>
      </c>
    </row>
    <row r="22" spans="1:11" x14ac:dyDescent="0.2">
      <c r="A22" t="s">
        <v>24</v>
      </c>
      <c r="B22" t="s">
        <v>23</v>
      </c>
      <c r="C22" t="s">
        <v>11</v>
      </c>
      <c r="D22">
        <v>65666</v>
      </c>
      <c r="E22" s="1">
        <v>43987</v>
      </c>
      <c r="F22">
        <v>8020</v>
      </c>
      <c r="G22" t="s">
        <v>19</v>
      </c>
      <c r="H22">
        <v>107</v>
      </c>
      <c r="I22" t="s">
        <v>25</v>
      </c>
      <c r="J22">
        <v>120</v>
      </c>
      <c r="K22">
        <v>600</v>
      </c>
    </row>
    <row r="23" spans="1:11" x14ac:dyDescent="0.2">
      <c r="A23" t="s">
        <v>24</v>
      </c>
      <c r="B23" t="s">
        <v>23</v>
      </c>
      <c r="C23" t="s">
        <v>11</v>
      </c>
      <c r="D23">
        <v>65666</v>
      </c>
      <c r="E23" s="1">
        <v>43988</v>
      </c>
      <c r="F23">
        <v>8020</v>
      </c>
      <c r="G23" t="s">
        <v>19</v>
      </c>
      <c r="H23">
        <v>103</v>
      </c>
      <c r="I23" t="s">
        <v>22</v>
      </c>
      <c r="J23">
        <v>200</v>
      </c>
      <c r="K23">
        <v>2400</v>
      </c>
    </row>
    <row r="24" spans="1:11" x14ac:dyDescent="0.2">
      <c r="A24" t="s">
        <v>24</v>
      </c>
      <c r="B24" t="s">
        <v>23</v>
      </c>
      <c r="C24" t="s">
        <v>11</v>
      </c>
      <c r="D24">
        <v>66015</v>
      </c>
      <c r="E24" s="1">
        <v>43992</v>
      </c>
      <c r="F24">
        <v>8010</v>
      </c>
      <c r="G24" t="s">
        <v>10</v>
      </c>
      <c r="H24">
        <v>103</v>
      </c>
      <c r="I24" t="s">
        <v>22</v>
      </c>
      <c r="J24">
        <v>140</v>
      </c>
      <c r="K24">
        <v>1680</v>
      </c>
    </row>
    <row r="25" spans="1:11" x14ac:dyDescent="0.2">
      <c r="A25" t="s">
        <v>24</v>
      </c>
      <c r="B25" t="s">
        <v>23</v>
      </c>
      <c r="C25" t="s">
        <v>11</v>
      </c>
      <c r="D25">
        <v>66015</v>
      </c>
      <c r="E25" s="1">
        <v>43993</v>
      </c>
      <c r="F25">
        <v>8010</v>
      </c>
      <c r="G25" t="s">
        <v>10</v>
      </c>
      <c r="H25">
        <v>104</v>
      </c>
      <c r="I25" t="s">
        <v>27</v>
      </c>
      <c r="J25">
        <v>140</v>
      </c>
      <c r="K25">
        <v>1680</v>
      </c>
    </row>
    <row r="26" spans="1:11" x14ac:dyDescent="0.2">
      <c r="A26" t="s">
        <v>24</v>
      </c>
      <c r="B26" t="s">
        <v>23</v>
      </c>
      <c r="C26" t="s">
        <v>11</v>
      </c>
      <c r="D26">
        <v>66017</v>
      </c>
      <c r="E26" s="1">
        <v>43994</v>
      </c>
      <c r="F26">
        <v>8010</v>
      </c>
      <c r="G26" t="s">
        <v>10</v>
      </c>
      <c r="H26">
        <v>103</v>
      </c>
      <c r="I26" t="s">
        <v>22</v>
      </c>
      <c r="J26">
        <v>140</v>
      </c>
      <c r="K26">
        <v>1680</v>
      </c>
    </row>
    <row r="27" spans="1:11" x14ac:dyDescent="0.2">
      <c r="A27" t="s">
        <v>24</v>
      </c>
      <c r="B27" t="s">
        <v>23</v>
      </c>
      <c r="C27" t="s">
        <v>11</v>
      </c>
      <c r="D27">
        <v>66017</v>
      </c>
      <c r="E27" s="1">
        <v>43995</v>
      </c>
      <c r="F27">
        <v>8010</v>
      </c>
      <c r="G27" t="s">
        <v>10</v>
      </c>
      <c r="H27">
        <v>104</v>
      </c>
      <c r="I27" t="s">
        <v>27</v>
      </c>
      <c r="J27">
        <v>140</v>
      </c>
      <c r="K27">
        <v>1680</v>
      </c>
    </row>
    <row r="28" spans="1:11" x14ac:dyDescent="0.2">
      <c r="A28" t="s">
        <v>24</v>
      </c>
      <c r="B28" t="s">
        <v>23</v>
      </c>
      <c r="C28" t="s">
        <v>11</v>
      </c>
      <c r="D28">
        <v>66016</v>
      </c>
      <c r="E28" s="1">
        <v>43996</v>
      </c>
      <c r="F28">
        <v>8020</v>
      </c>
      <c r="G28" t="s">
        <v>19</v>
      </c>
      <c r="H28">
        <v>103</v>
      </c>
      <c r="I28" t="s">
        <v>22</v>
      </c>
      <c r="J28">
        <v>120</v>
      </c>
      <c r="K28">
        <v>1440</v>
      </c>
    </row>
    <row r="29" spans="1:11" x14ac:dyDescent="0.2">
      <c r="A29" t="s">
        <v>24</v>
      </c>
      <c r="B29" t="s">
        <v>23</v>
      </c>
      <c r="C29" t="s">
        <v>11</v>
      </c>
      <c r="D29">
        <v>66016</v>
      </c>
      <c r="E29" s="1">
        <v>43997</v>
      </c>
      <c r="F29">
        <v>8020</v>
      </c>
      <c r="G29" t="s">
        <v>19</v>
      </c>
      <c r="H29">
        <v>104</v>
      </c>
      <c r="I29" t="s">
        <v>27</v>
      </c>
      <c r="J29">
        <v>130</v>
      </c>
      <c r="K29">
        <v>1560</v>
      </c>
    </row>
    <row r="30" spans="1:11" x14ac:dyDescent="0.2">
      <c r="A30" t="s">
        <v>24</v>
      </c>
      <c r="B30" t="s">
        <v>23</v>
      </c>
      <c r="C30" t="s">
        <v>11</v>
      </c>
      <c r="D30">
        <v>66016</v>
      </c>
      <c r="E30" s="1">
        <v>43998</v>
      </c>
      <c r="F30">
        <v>8020</v>
      </c>
      <c r="G30" t="s">
        <v>19</v>
      </c>
      <c r="H30">
        <v>105</v>
      </c>
      <c r="I30" t="s">
        <v>26</v>
      </c>
      <c r="J30">
        <v>120</v>
      </c>
      <c r="K30">
        <v>1200</v>
      </c>
    </row>
    <row r="31" spans="1:11" x14ac:dyDescent="0.2">
      <c r="A31" t="s">
        <v>24</v>
      </c>
      <c r="B31" t="s">
        <v>23</v>
      </c>
      <c r="C31" t="s">
        <v>11</v>
      </c>
      <c r="D31">
        <v>68097</v>
      </c>
      <c r="E31" s="1">
        <v>43999</v>
      </c>
      <c r="F31">
        <v>8010</v>
      </c>
      <c r="G31" t="s">
        <v>10</v>
      </c>
      <c r="H31">
        <v>104</v>
      </c>
      <c r="I31" t="s">
        <v>27</v>
      </c>
      <c r="J31">
        <v>140</v>
      </c>
      <c r="K31">
        <v>1680</v>
      </c>
    </row>
    <row r="32" spans="1:11" x14ac:dyDescent="0.2">
      <c r="A32" t="s">
        <v>24</v>
      </c>
      <c r="B32" t="s">
        <v>23</v>
      </c>
      <c r="C32" t="s">
        <v>11</v>
      </c>
      <c r="D32">
        <v>68097</v>
      </c>
      <c r="E32" s="1">
        <v>44000</v>
      </c>
      <c r="F32">
        <v>8010</v>
      </c>
      <c r="G32" t="s">
        <v>10</v>
      </c>
      <c r="H32">
        <v>105</v>
      </c>
      <c r="I32" t="s">
        <v>26</v>
      </c>
      <c r="J32">
        <v>130</v>
      </c>
      <c r="K32">
        <v>1300</v>
      </c>
    </row>
    <row r="33" spans="1:11" x14ac:dyDescent="0.2">
      <c r="A33" t="s">
        <v>24</v>
      </c>
      <c r="B33" t="s">
        <v>23</v>
      </c>
      <c r="C33" t="s">
        <v>11</v>
      </c>
      <c r="D33">
        <v>68099</v>
      </c>
      <c r="E33" s="1">
        <v>44001</v>
      </c>
      <c r="F33">
        <v>8020</v>
      </c>
      <c r="G33" t="s">
        <v>19</v>
      </c>
      <c r="H33">
        <v>104</v>
      </c>
      <c r="I33" t="s">
        <v>27</v>
      </c>
      <c r="J33">
        <v>120</v>
      </c>
      <c r="K33">
        <v>1440</v>
      </c>
    </row>
    <row r="34" spans="1:11" x14ac:dyDescent="0.2">
      <c r="A34" t="s">
        <v>24</v>
      </c>
      <c r="B34" t="s">
        <v>23</v>
      </c>
      <c r="C34" t="s">
        <v>11</v>
      </c>
      <c r="D34">
        <v>68099</v>
      </c>
      <c r="E34" s="1">
        <v>44002</v>
      </c>
      <c r="F34">
        <v>8020</v>
      </c>
      <c r="G34" t="s">
        <v>19</v>
      </c>
      <c r="H34">
        <v>105</v>
      </c>
      <c r="I34" t="s">
        <v>26</v>
      </c>
      <c r="J34">
        <v>140</v>
      </c>
      <c r="K34">
        <v>1400</v>
      </c>
    </row>
    <row r="35" spans="1:11" x14ac:dyDescent="0.2">
      <c r="A35" t="s">
        <v>24</v>
      </c>
      <c r="B35" t="s">
        <v>23</v>
      </c>
      <c r="C35" t="s">
        <v>11</v>
      </c>
      <c r="D35">
        <v>68099</v>
      </c>
      <c r="E35" s="1">
        <v>44003</v>
      </c>
      <c r="F35">
        <v>8020</v>
      </c>
      <c r="G35" t="s">
        <v>19</v>
      </c>
      <c r="H35">
        <v>107</v>
      </c>
      <c r="I35" t="s">
        <v>25</v>
      </c>
      <c r="J35">
        <v>170</v>
      </c>
      <c r="K35">
        <v>850</v>
      </c>
    </row>
    <row r="36" spans="1:11" x14ac:dyDescent="0.2">
      <c r="A36" t="s">
        <v>24</v>
      </c>
      <c r="B36" t="s">
        <v>23</v>
      </c>
      <c r="C36" t="s">
        <v>11</v>
      </c>
      <c r="D36">
        <v>68101</v>
      </c>
      <c r="E36" s="1">
        <v>43997</v>
      </c>
      <c r="F36">
        <v>8010</v>
      </c>
      <c r="G36" t="s">
        <v>10</v>
      </c>
      <c r="H36">
        <v>104</v>
      </c>
      <c r="I36" t="s">
        <v>27</v>
      </c>
      <c r="J36">
        <v>190</v>
      </c>
      <c r="K36">
        <v>2280</v>
      </c>
    </row>
    <row r="37" spans="1:11" x14ac:dyDescent="0.2">
      <c r="A37" t="s">
        <v>24</v>
      </c>
      <c r="B37" t="s">
        <v>23</v>
      </c>
      <c r="C37" t="s">
        <v>11</v>
      </c>
      <c r="D37">
        <v>68101</v>
      </c>
      <c r="E37" s="1">
        <v>43998</v>
      </c>
      <c r="F37">
        <v>8010</v>
      </c>
      <c r="G37" t="s">
        <v>10</v>
      </c>
      <c r="H37">
        <v>105</v>
      </c>
      <c r="I37" t="s">
        <v>26</v>
      </c>
      <c r="J37">
        <v>140</v>
      </c>
      <c r="K37">
        <v>1400</v>
      </c>
    </row>
    <row r="38" spans="1:11" x14ac:dyDescent="0.2">
      <c r="A38" t="s">
        <v>24</v>
      </c>
      <c r="B38" t="s">
        <v>23</v>
      </c>
      <c r="C38" t="s">
        <v>11</v>
      </c>
      <c r="D38">
        <v>65627</v>
      </c>
      <c r="E38" s="1">
        <v>43999</v>
      </c>
      <c r="F38">
        <v>8020</v>
      </c>
      <c r="G38" t="s">
        <v>19</v>
      </c>
      <c r="H38">
        <v>103</v>
      </c>
      <c r="I38" t="s">
        <v>22</v>
      </c>
      <c r="J38">
        <v>140</v>
      </c>
      <c r="K38">
        <v>1680</v>
      </c>
    </row>
    <row r="39" spans="1:11" x14ac:dyDescent="0.2">
      <c r="A39" t="s">
        <v>24</v>
      </c>
      <c r="B39" t="s">
        <v>23</v>
      </c>
      <c r="C39" t="s">
        <v>11</v>
      </c>
      <c r="D39">
        <v>65627</v>
      </c>
      <c r="E39" s="1">
        <v>44000</v>
      </c>
      <c r="F39">
        <v>8020</v>
      </c>
      <c r="G39" t="s">
        <v>19</v>
      </c>
      <c r="H39">
        <v>104</v>
      </c>
      <c r="I39" t="s">
        <v>27</v>
      </c>
      <c r="J39">
        <v>160</v>
      </c>
      <c r="K39">
        <v>1920</v>
      </c>
    </row>
    <row r="40" spans="1:11" x14ac:dyDescent="0.2">
      <c r="A40" t="s">
        <v>24</v>
      </c>
      <c r="B40" t="s">
        <v>23</v>
      </c>
      <c r="C40" t="s">
        <v>11</v>
      </c>
      <c r="D40">
        <v>65629</v>
      </c>
      <c r="E40" s="1">
        <v>44001</v>
      </c>
      <c r="F40">
        <v>8010</v>
      </c>
      <c r="G40" t="s">
        <v>10</v>
      </c>
      <c r="H40">
        <v>103</v>
      </c>
      <c r="I40" t="s">
        <v>22</v>
      </c>
      <c r="J40">
        <v>190</v>
      </c>
      <c r="K40">
        <v>2280</v>
      </c>
    </row>
    <row r="41" spans="1:11" x14ac:dyDescent="0.2">
      <c r="A41" t="s">
        <v>24</v>
      </c>
      <c r="B41" t="s">
        <v>23</v>
      </c>
      <c r="C41" t="s">
        <v>11</v>
      </c>
      <c r="D41">
        <v>65629</v>
      </c>
      <c r="E41" s="1">
        <v>44002</v>
      </c>
      <c r="F41">
        <v>8010</v>
      </c>
      <c r="G41" t="s">
        <v>10</v>
      </c>
      <c r="H41">
        <v>104</v>
      </c>
      <c r="I41" t="s">
        <v>27</v>
      </c>
      <c r="J41">
        <v>130</v>
      </c>
      <c r="K41">
        <v>1560</v>
      </c>
    </row>
    <row r="42" spans="1:11" x14ac:dyDescent="0.2">
      <c r="A42" t="s">
        <v>24</v>
      </c>
      <c r="B42" t="s">
        <v>23</v>
      </c>
      <c r="C42" t="s">
        <v>11</v>
      </c>
      <c r="D42">
        <v>65629</v>
      </c>
      <c r="E42" s="1">
        <v>44003</v>
      </c>
      <c r="F42">
        <v>8010</v>
      </c>
      <c r="G42" t="s">
        <v>10</v>
      </c>
      <c r="H42">
        <v>105</v>
      </c>
      <c r="I42" t="s">
        <v>26</v>
      </c>
      <c r="J42">
        <v>140</v>
      </c>
      <c r="K42">
        <v>1400</v>
      </c>
    </row>
    <row r="43" spans="1:11" x14ac:dyDescent="0.2">
      <c r="A43" t="s">
        <v>24</v>
      </c>
      <c r="B43" t="s">
        <v>23</v>
      </c>
      <c r="C43" t="s">
        <v>11</v>
      </c>
      <c r="D43">
        <v>65631</v>
      </c>
      <c r="E43" s="1">
        <v>44004</v>
      </c>
      <c r="F43">
        <v>8020</v>
      </c>
      <c r="G43" t="s">
        <v>19</v>
      </c>
      <c r="H43">
        <v>107</v>
      </c>
      <c r="I43" t="s">
        <v>25</v>
      </c>
      <c r="J43">
        <v>190</v>
      </c>
      <c r="K43">
        <v>950</v>
      </c>
    </row>
    <row r="44" spans="1:11" x14ac:dyDescent="0.2">
      <c r="A44" t="s">
        <v>24</v>
      </c>
      <c r="B44" t="s">
        <v>23</v>
      </c>
      <c r="C44" t="s">
        <v>11</v>
      </c>
      <c r="D44">
        <v>65631</v>
      </c>
      <c r="E44" s="1">
        <v>44005</v>
      </c>
      <c r="F44">
        <v>8020</v>
      </c>
      <c r="G44" t="s">
        <v>19</v>
      </c>
      <c r="H44">
        <v>103</v>
      </c>
      <c r="I44" t="s">
        <v>22</v>
      </c>
      <c r="J44">
        <v>120</v>
      </c>
      <c r="K44">
        <v>1440</v>
      </c>
    </row>
    <row r="45" spans="1:11" x14ac:dyDescent="0.2">
      <c r="A45" t="s">
        <v>13</v>
      </c>
      <c r="B45" t="s">
        <v>12</v>
      </c>
      <c r="C45" t="s">
        <v>11</v>
      </c>
      <c r="D45">
        <v>24030</v>
      </c>
      <c r="E45" s="1">
        <v>43983</v>
      </c>
      <c r="F45">
        <v>8020</v>
      </c>
      <c r="G45" t="s">
        <v>19</v>
      </c>
      <c r="H45">
        <v>101</v>
      </c>
      <c r="I45" t="s">
        <v>14</v>
      </c>
      <c r="J45">
        <v>130</v>
      </c>
      <c r="K45">
        <v>1560</v>
      </c>
    </row>
    <row r="46" spans="1:11" x14ac:dyDescent="0.2">
      <c r="A46" t="s">
        <v>13</v>
      </c>
      <c r="B46" t="s">
        <v>12</v>
      </c>
      <c r="C46" t="s">
        <v>11</v>
      </c>
      <c r="D46">
        <v>24030</v>
      </c>
      <c r="E46" s="1">
        <v>43984</v>
      </c>
      <c r="F46">
        <v>8020</v>
      </c>
      <c r="G46" t="s">
        <v>19</v>
      </c>
      <c r="H46">
        <v>102</v>
      </c>
      <c r="I46" t="s">
        <v>9</v>
      </c>
      <c r="J46">
        <v>30</v>
      </c>
      <c r="K46">
        <v>360</v>
      </c>
    </row>
    <row r="47" spans="1:11" x14ac:dyDescent="0.2">
      <c r="A47" t="s">
        <v>13</v>
      </c>
      <c r="B47" t="s">
        <v>12</v>
      </c>
      <c r="C47" t="s">
        <v>11</v>
      </c>
      <c r="D47">
        <v>24030</v>
      </c>
      <c r="E47" s="1">
        <v>43985</v>
      </c>
      <c r="F47">
        <v>8020</v>
      </c>
      <c r="G47" t="s">
        <v>19</v>
      </c>
      <c r="H47">
        <v>106</v>
      </c>
      <c r="I47" t="s">
        <v>15</v>
      </c>
      <c r="J47">
        <v>60</v>
      </c>
      <c r="K47">
        <v>300</v>
      </c>
    </row>
    <row r="48" spans="1:11" x14ac:dyDescent="0.2">
      <c r="A48" t="s">
        <v>13</v>
      </c>
      <c r="B48" t="s">
        <v>12</v>
      </c>
      <c r="C48" t="s">
        <v>11</v>
      </c>
      <c r="D48">
        <v>24030</v>
      </c>
      <c r="E48" s="1">
        <v>43986</v>
      </c>
      <c r="F48">
        <v>8020</v>
      </c>
      <c r="G48" t="s">
        <v>19</v>
      </c>
      <c r="H48">
        <v>108</v>
      </c>
      <c r="I48" t="s">
        <v>0</v>
      </c>
      <c r="J48">
        <v>80</v>
      </c>
      <c r="K48">
        <v>2240</v>
      </c>
    </row>
    <row r="49" spans="1:11" x14ac:dyDescent="0.2">
      <c r="A49" t="s">
        <v>13</v>
      </c>
      <c r="B49" t="s">
        <v>12</v>
      </c>
      <c r="C49" t="s">
        <v>11</v>
      </c>
      <c r="D49">
        <v>24031</v>
      </c>
      <c r="E49" s="1">
        <v>43987</v>
      </c>
      <c r="F49">
        <v>8020</v>
      </c>
      <c r="G49" t="s">
        <v>19</v>
      </c>
      <c r="H49">
        <v>101</v>
      </c>
      <c r="I49" t="s">
        <v>14</v>
      </c>
      <c r="J49">
        <v>100</v>
      </c>
      <c r="K49">
        <v>1200</v>
      </c>
    </row>
    <row r="50" spans="1:11" x14ac:dyDescent="0.2">
      <c r="A50" t="s">
        <v>13</v>
      </c>
      <c r="B50" t="s">
        <v>12</v>
      </c>
      <c r="C50" t="s">
        <v>11</v>
      </c>
      <c r="D50">
        <v>24031</v>
      </c>
      <c r="E50" s="1">
        <v>43988</v>
      </c>
      <c r="F50">
        <v>8020</v>
      </c>
      <c r="G50" t="s">
        <v>19</v>
      </c>
      <c r="H50">
        <v>108</v>
      </c>
      <c r="I50" t="s">
        <v>0</v>
      </c>
      <c r="J50">
        <v>20</v>
      </c>
      <c r="K50">
        <v>560</v>
      </c>
    </row>
    <row r="51" spans="1:11" x14ac:dyDescent="0.2">
      <c r="A51" t="s">
        <v>13</v>
      </c>
      <c r="B51" t="s">
        <v>12</v>
      </c>
      <c r="C51" t="s">
        <v>11</v>
      </c>
      <c r="D51">
        <v>24031</v>
      </c>
      <c r="E51" s="1">
        <v>43989</v>
      </c>
      <c r="F51">
        <v>8020</v>
      </c>
      <c r="G51" t="s">
        <v>19</v>
      </c>
      <c r="H51">
        <v>113</v>
      </c>
      <c r="I51" t="s">
        <v>21</v>
      </c>
      <c r="J51">
        <v>100</v>
      </c>
      <c r="K51">
        <v>2500</v>
      </c>
    </row>
    <row r="52" spans="1:11" x14ac:dyDescent="0.2">
      <c r="A52" t="s">
        <v>13</v>
      </c>
      <c r="B52" t="s">
        <v>12</v>
      </c>
      <c r="C52" t="s">
        <v>11</v>
      </c>
      <c r="D52">
        <v>28112</v>
      </c>
      <c r="E52" s="1">
        <v>43990</v>
      </c>
      <c r="F52">
        <v>8020</v>
      </c>
      <c r="G52" t="s">
        <v>19</v>
      </c>
      <c r="H52">
        <v>114</v>
      </c>
      <c r="I52" t="s">
        <v>20</v>
      </c>
      <c r="J52">
        <v>50</v>
      </c>
      <c r="K52">
        <v>1250</v>
      </c>
    </row>
    <row r="53" spans="1:11" x14ac:dyDescent="0.2">
      <c r="A53" t="s">
        <v>13</v>
      </c>
      <c r="B53" t="s">
        <v>12</v>
      </c>
      <c r="C53" t="s">
        <v>11</v>
      </c>
      <c r="D53">
        <v>28112</v>
      </c>
      <c r="E53" s="1">
        <v>43991</v>
      </c>
      <c r="F53">
        <v>8020</v>
      </c>
      <c r="G53" t="s">
        <v>19</v>
      </c>
      <c r="H53">
        <v>101</v>
      </c>
      <c r="I53" t="s">
        <v>14</v>
      </c>
      <c r="J53">
        <v>40</v>
      </c>
      <c r="K53">
        <v>480</v>
      </c>
    </row>
    <row r="54" spans="1:11" x14ac:dyDescent="0.2">
      <c r="A54" t="s">
        <v>13</v>
      </c>
      <c r="B54" t="s">
        <v>12</v>
      </c>
      <c r="C54" t="s">
        <v>11</v>
      </c>
      <c r="D54">
        <v>28112</v>
      </c>
      <c r="E54" s="1">
        <v>43992</v>
      </c>
      <c r="F54">
        <v>8020</v>
      </c>
      <c r="G54" t="s">
        <v>19</v>
      </c>
      <c r="H54">
        <v>102</v>
      </c>
      <c r="I54" t="s">
        <v>9</v>
      </c>
      <c r="J54">
        <v>70</v>
      </c>
      <c r="K54">
        <v>840</v>
      </c>
    </row>
    <row r="55" spans="1:11" x14ac:dyDescent="0.2">
      <c r="A55" t="s">
        <v>13</v>
      </c>
      <c r="B55" t="s">
        <v>12</v>
      </c>
      <c r="C55" t="s">
        <v>11</v>
      </c>
      <c r="D55">
        <v>28112</v>
      </c>
      <c r="E55" s="1">
        <v>43993</v>
      </c>
      <c r="F55">
        <v>8020</v>
      </c>
      <c r="G55" t="s">
        <v>19</v>
      </c>
      <c r="H55">
        <v>106</v>
      </c>
      <c r="I55" t="s">
        <v>15</v>
      </c>
      <c r="J55">
        <v>70</v>
      </c>
      <c r="K55">
        <v>350</v>
      </c>
    </row>
    <row r="56" spans="1:11" x14ac:dyDescent="0.2">
      <c r="A56" t="s">
        <v>13</v>
      </c>
      <c r="B56" t="s">
        <v>12</v>
      </c>
      <c r="C56" t="s">
        <v>11</v>
      </c>
      <c r="D56">
        <v>28112</v>
      </c>
      <c r="E56" s="1">
        <v>43994</v>
      </c>
      <c r="F56">
        <v>8020</v>
      </c>
      <c r="G56" t="s">
        <v>19</v>
      </c>
      <c r="H56">
        <v>108</v>
      </c>
      <c r="I56" t="s">
        <v>0</v>
      </c>
      <c r="J56">
        <v>10</v>
      </c>
      <c r="K56">
        <v>280</v>
      </c>
    </row>
    <row r="57" spans="1:11" x14ac:dyDescent="0.2">
      <c r="A57" t="s">
        <v>13</v>
      </c>
      <c r="B57" t="s">
        <v>12</v>
      </c>
      <c r="C57" t="s">
        <v>11</v>
      </c>
      <c r="D57">
        <v>28112</v>
      </c>
      <c r="E57" s="1">
        <v>43995</v>
      </c>
      <c r="F57">
        <v>8020</v>
      </c>
      <c r="G57" t="s">
        <v>19</v>
      </c>
      <c r="H57">
        <v>117</v>
      </c>
      <c r="I57" t="s">
        <v>18</v>
      </c>
      <c r="J57">
        <v>80</v>
      </c>
      <c r="K57">
        <v>1440</v>
      </c>
    </row>
    <row r="58" spans="1:11" x14ac:dyDescent="0.2">
      <c r="A58" t="s">
        <v>13</v>
      </c>
      <c r="B58" t="s">
        <v>12</v>
      </c>
      <c r="C58" t="s">
        <v>11</v>
      </c>
      <c r="D58">
        <v>28112</v>
      </c>
      <c r="E58" s="1">
        <v>43996</v>
      </c>
      <c r="F58">
        <v>8020</v>
      </c>
      <c r="G58" t="s">
        <v>19</v>
      </c>
      <c r="H58">
        <v>118</v>
      </c>
      <c r="I58" t="s">
        <v>17</v>
      </c>
      <c r="J58">
        <v>70</v>
      </c>
      <c r="K58">
        <v>1260</v>
      </c>
    </row>
    <row r="59" spans="1:11" x14ac:dyDescent="0.2">
      <c r="A59" t="s">
        <v>13</v>
      </c>
      <c r="B59" t="s">
        <v>12</v>
      </c>
      <c r="C59" t="s">
        <v>11</v>
      </c>
      <c r="D59">
        <v>25442</v>
      </c>
      <c r="E59" s="1">
        <v>43997</v>
      </c>
      <c r="F59">
        <v>8010</v>
      </c>
      <c r="G59" t="s">
        <v>10</v>
      </c>
      <c r="H59">
        <v>118</v>
      </c>
      <c r="I59" t="s">
        <v>17</v>
      </c>
      <c r="J59">
        <v>70</v>
      </c>
      <c r="K59">
        <v>1260</v>
      </c>
    </row>
    <row r="60" spans="1:11" x14ac:dyDescent="0.2">
      <c r="A60" t="s">
        <v>13</v>
      </c>
      <c r="B60" t="s">
        <v>12</v>
      </c>
      <c r="C60" t="s">
        <v>11</v>
      </c>
      <c r="D60">
        <v>25442</v>
      </c>
      <c r="E60" s="1">
        <v>43998</v>
      </c>
      <c r="F60">
        <v>8010</v>
      </c>
      <c r="G60" t="s">
        <v>10</v>
      </c>
      <c r="H60">
        <v>117</v>
      </c>
      <c r="I60" t="s">
        <v>18</v>
      </c>
      <c r="J60">
        <v>80</v>
      </c>
      <c r="K60">
        <v>1440</v>
      </c>
    </row>
    <row r="61" spans="1:11" x14ac:dyDescent="0.2">
      <c r="A61" t="s">
        <v>13</v>
      </c>
      <c r="B61" t="s">
        <v>12</v>
      </c>
      <c r="C61" t="s">
        <v>11</v>
      </c>
      <c r="D61">
        <v>25442</v>
      </c>
      <c r="E61" s="1">
        <v>43999</v>
      </c>
      <c r="F61">
        <v>8010</v>
      </c>
      <c r="G61" t="s">
        <v>10</v>
      </c>
      <c r="H61">
        <v>118</v>
      </c>
      <c r="I61" t="s">
        <v>17</v>
      </c>
      <c r="J61">
        <v>70</v>
      </c>
      <c r="K61">
        <v>1260</v>
      </c>
    </row>
    <row r="62" spans="1:11" x14ac:dyDescent="0.2">
      <c r="A62" t="s">
        <v>13</v>
      </c>
      <c r="B62" t="s">
        <v>12</v>
      </c>
      <c r="C62" t="s">
        <v>11</v>
      </c>
      <c r="D62">
        <v>25442</v>
      </c>
      <c r="E62" s="1">
        <v>44000</v>
      </c>
      <c r="F62">
        <v>8010</v>
      </c>
      <c r="G62" t="s">
        <v>10</v>
      </c>
      <c r="H62">
        <v>116</v>
      </c>
      <c r="I62" t="s">
        <v>16</v>
      </c>
      <c r="J62">
        <v>60</v>
      </c>
      <c r="K62">
        <v>360</v>
      </c>
    </row>
    <row r="63" spans="1:11" x14ac:dyDescent="0.2">
      <c r="A63" t="s">
        <v>13</v>
      </c>
      <c r="B63" t="s">
        <v>12</v>
      </c>
      <c r="C63" t="s">
        <v>11</v>
      </c>
      <c r="D63">
        <v>25442</v>
      </c>
      <c r="E63" s="1">
        <v>44001</v>
      </c>
      <c r="F63">
        <v>8010</v>
      </c>
      <c r="G63" t="s">
        <v>10</v>
      </c>
      <c r="H63">
        <v>106</v>
      </c>
      <c r="I63" t="s">
        <v>15</v>
      </c>
      <c r="J63">
        <v>20</v>
      </c>
      <c r="K63">
        <v>100</v>
      </c>
    </row>
    <row r="64" spans="1:11" x14ac:dyDescent="0.2">
      <c r="A64" t="s">
        <v>13</v>
      </c>
      <c r="B64" t="s">
        <v>12</v>
      </c>
      <c r="C64" t="s">
        <v>11</v>
      </c>
      <c r="D64">
        <v>25442</v>
      </c>
      <c r="E64" s="1">
        <v>44002</v>
      </c>
      <c r="F64">
        <v>8010</v>
      </c>
      <c r="G64" t="s">
        <v>10</v>
      </c>
      <c r="H64">
        <v>101</v>
      </c>
      <c r="I64" t="s">
        <v>14</v>
      </c>
      <c r="J64">
        <v>40</v>
      </c>
      <c r="K64">
        <v>480</v>
      </c>
    </row>
    <row r="65" spans="1:11" x14ac:dyDescent="0.2">
      <c r="A65" t="s">
        <v>13</v>
      </c>
      <c r="B65" t="s">
        <v>12</v>
      </c>
      <c r="C65" t="s">
        <v>11</v>
      </c>
      <c r="D65">
        <v>25442</v>
      </c>
      <c r="E65" s="1">
        <v>44003</v>
      </c>
      <c r="F65">
        <v>8010</v>
      </c>
      <c r="G65" t="s">
        <v>10</v>
      </c>
      <c r="H65">
        <v>102</v>
      </c>
      <c r="I65" t="s">
        <v>9</v>
      </c>
      <c r="J65">
        <v>10</v>
      </c>
      <c r="K65">
        <v>120</v>
      </c>
    </row>
    <row r="66" spans="1:11" x14ac:dyDescent="0.2">
      <c r="A66" t="s">
        <v>4</v>
      </c>
      <c r="B66" t="s">
        <v>3</v>
      </c>
      <c r="C66" t="s">
        <v>2</v>
      </c>
      <c r="D66">
        <v>44030</v>
      </c>
      <c r="E66" s="1">
        <v>43983</v>
      </c>
      <c r="F66">
        <v>8060</v>
      </c>
      <c r="G66" t="s">
        <v>7</v>
      </c>
      <c r="H66">
        <v>108</v>
      </c>
      <c r="I66" t="s">
        <v>0</v>
      </c>
      <c r="J66">
        <v>60</v>
      </c>
      <c r="K66">
        <v>1970</v>
      </c>
    </row>
    <row r="67" spans="1:11" x14ac:dyDescent="0.2">
      <c r="A67" t="s">
        <v>4</v>
      </c>
      <c r="B67" t="s">
        <v>3</v>
      </c>
      <c r="C67" t="s">
        <v>2</v>
      </c>
      <c r="D67">
        <v>44030</v>
      </c>
      <c r="E67" s="1">
        <v>43984</v>
      </c>
      <c r="F67">
        <v>8060</v>
      </c>
      <c r="G67" t="s">
        <v>7</v>
      </c>
      <c r="H67">
        <v>109</v>
      </c>
      <c r="I67" t="s">
        <v>8</v>
      </c>
      <c r="J67">
        <v>60</v>
      </c>
      <c r="K67">
        <v>1970</v>
      </c>
    </row>
    <row r="68" spans="1:11" x14ac:dyDescent="0.2">
      <c r="A68" t="s">
        <v>4</v>
      </c>
      <c r="B68" t="s">
        <v>3</v>
      </c>
      <c r="C68" t="s">
        <v>2</v>
      </c>
      <c r="D68">
        <v>44032</v>
      </c>
      <c r="E68" s="1">
        <v>43983</v>
      </c>
      <c r="F68">
        <v>8060</v>
      </c>
      <c r="G68" t="s">
        <v>7</v>
      </c>
      <c r="H68">
        <v>108</v>
      </c>
      <c r="I68" t="s">
        <v>0</v>
      </c>
      <c r="J68">
        <v>60</v>
      </c>
      <c r="K68">
        <v>1970</v>
      </c>
    </row>
    <row r="69" spans="1:11" x14ac:dyDescent="0.2">
      <c r="A69" t="s">
        <v>4</v>
      </c>
      <c r="B69" t="s">
        <v>3</v>
      </c>
      <c r="C69" t="s">
        <v>2</v>
      </c>
      <c r="D69">
        <v>44032</v>
      </c>
      <c r="E69" s="1">
        <v>43984</v>
      </c>
      <c r="F69">
        <v>8060</v>
      </c>
      <c r="G69" t="s">
        <v>7</v>
      </c>
      <c r="H69">
        <v>109</v>
      </c>
      <c r="I69" t="s">
        <v>8</v>
      </c>
      <c r="J69">
        <v>70</v>
      </c>
      <c r="K69">
        <v>2300</v>
      </c>
    </row>
    <row r="70" spans="1:11" x14ac:dyDescent="0.2">
      <c r="A70" t="s">
        <v>4</v>
      </c>
      <c r="B70" t="s">
        <v>3</v>
      </c>
      <c r="C70" t="s">
        <v>2</v>
      </c>
      <c r="D70">
        <v>44031</v>
      </c>
      <c r="E70" s="1">
        <v>43983</v>
      </c>
      <c r="F70">
        <v>8050</v>
      </c>
      <c r="G70" t="s">
        <v>1</v>
      </c>
      <c r="H70">
        <v>108</v>
      </c>
      <c r="I70" t="s">
        <v>0</v>
      </c>
      <c r="J70">
        <v>60</v>
      </c>
      <c r="K70">
        <v>1970</v>
      </c>
    </row>
    <row r="71" spans="1:11" x14ac:dyDescent="0.2">
      <c r="A71" t="s">
        <v>4</v>
      </c>
      <c r="B71" t="s">
        <v>3</v>
      </c>
      <c r="C71" t="s">
        <v>2</v>
      </c>
      <c r="D71">
        <v>44031</v>
      </c>
      <c r="E71" s="1">
        <v>43984</v>
      </c>
      <c r="F71">
        <v>8050</v>
      </c>
      <c r="G71" t="s">
        <v>1</v>
      </c>
      <c r="H71">
        <v>109</v>
      </c>
      <c r="I71" t="s">
        <v>8</v>
      </c>
      <c r="J71">
        <v>50</v>
      </c>
      <c r="K71">
        <v>1640</v>
      </c>
    </row>
    <row r="72" spans="1:11" x14ac:dyDescent="0.2">
      <c r="A72" t="s">
        <v>4</v>
      </c>
      <c r="B72" t="s">
        <v>3</v>
      </c>
      <c r="C72" t="s">
        <v>2</v>
      </c>
      <c r="D72">
        <v>44031</v>
      </c>
      <c r="E72" s="1">
        <v>43989</v>
      </c>
      <c r="F72">
        <v>8050</v>
      </c>
      <c r="G72" t="s">
        <v>1</v>
      </c>
      <c r="H72">
        <v>110</v>
      </c>
      <c r="I72" t="s">
        <v>6</v>
      </c>
      <c r="J72">
        <v>60</v>
      </c>
      <c r="K72">
        <v>4230</v>
      </c>
    </row>
    <row r="73" spans="1:11" x14ac:dyDescent="0.2">
      <c r="A73" t="s">
        <v>4</v>
      </c>
      <c r="B73" t="s">
        <v>3</v>
      </c>
      <c r="C73" t="s">
        <v>2</v>
      </c>
      <c r="D73">
        <v>48112</v>
      </c>
      <c r="E73" s="1">
        <v>43990</v>
      </c>
      <c r="F73">
        <v>8060</v>
      </c>
      <c r="G73" t="s">
        <v>7</v>
      </c>
      <c r="H73">
        <v>109</v>
      </c>
      <c r="I73" t="s">
        <v>8</v>
      </c>
      <c r="J73">
        <v>60</v>
      </c>
      <c r="K73">
        <v>1970</v>
      </c>
    </row>
    <row r="74" spans="1:11" x14ac:dyDescent="0.2">
      <c r="A74" t="s">
        <v>4</v>
      </c>
      <c r="B74" t="s">
        <v>3</v>
      </c>
      <c r="C74" t="s">
        <v>2</v>
      </c>
      <c r="D74">
        <v>48112</v>
      </c>
      <c r="E74" s="1">
        <v>43991</v>
      </c>
      <c r="F74">
        <v>8060</v>
      </c>
      <c r="G74" t="s">
        <v>7</v>
      </c>
      <c r="H74">
        <v>110</v>
      </c>
      <c r="I74" t="s">
        <v>6</v>
      </c>
      <c r="J74">
        <v>50</v>
      </c>
      <c r="K74">
        <v>3520</v>
      </c>
    </row>
    <row r="75" spans="1:11" x14ac:dyDescent="0.2">
      <c r="A75" t="s">
        <v>4</v>
      </c>
      <c r="B75" t="s">
        <v>3</v>
      </c>
      <c r="C75" t="s">
        <v>2</v>
      </c>
      <c r="D75">
        <v>48114</v>
      </c>
      <c r="E75" s="1">
        <v>43990</v>
      </c>
      <c r="F75">
        <v>8050</v>
      </c>
      <c r="G75" t="s">
        <v>1</v>
      </c>
      <c r="H75">
        <v>109</v>
      </c>
      <c r="I75" t="s">
        <v>8</v>
      </c>
      <c r="J75">
        <v>60</v>
      </c>
      <c r="K75">
        <v>1970</v>
      </c>
    </row>
    <row r="76" spans="1:11" x14ac:dyDescent="0.2">
      <c r="A76" t="s">
        <v>4</v>
      </c>
      <c r="B76" t="s">
        <v>3</v>
      </c>
      <c r="C76" t="s">
        <v>2</v>
      </c>
      <c r="D76">
        <v>48114</v>
      </c>
      <c r="E76" s="1">
        <v>43991</v>
      </c>
      <c r="F76">
        <v>8050</v>
      </c>
      <c r="G76" t="s">
        <v>1</v>
      </c>
      <c r="H76">
        <v>110</v>
      </c>
      <c r="I76" t="s">
        <v>6</v>
      </c>
      <c r="J76">
        <v>60</v>
      </c>
      <c r="K76">
        <v>4230</v>
      </c>
    </row>
    <row r="77" spans="1:11" x14ac:dyDescent="0.2">
      <c r="A77" t="s">
        <v>4</v>
      </c>
      <c r="B77" t="s">
        <v>3</v>
      </c>
      <c r="C77" t="s">
        <v>2</v>
      </c>
      <c r="D77">
        <v>48114</v>
      </c>
      <c r="E77" s="1">
        <v>43994</v>
      </c>
      <c r="F77">
        <v>8050</v>
      </c>
      <c r="G77" t="s">
        <v>1</v>
      </c>
      <c r="H77">
        <v>111</v>
      </c>
      <c r="I77" t="s">
        <v>5</v>
      </c>
      <c r="J77">
        <v>80</v>
      </c>
      <c r="K77">
        <v>1880</v>
      </c>
    </row>
    <row r="78" spans="1:11" x14ac:dyDescent="0.2">
      <c r="A78" t="s">
        <v>4</v>
      </c>
      <c r="B78" t="s">
        <v>3</v>
      </c>
      <c r="C78" t="s">
        <v>2</v>
      </c>
      <c r="D78">
        <v>48116</v>
      </c>
      <c r="E78" s="1">
        <v>43990</v>
      </c>
      <c r="F78">
        <v>8060</v>
      </c>
      <c r="G78" t="s">
        <v>7</v>
      </c>
      <c r="H78">
        <v>109</v>
      </c>
      <c r="I78" t="s">
        <v>8</v>
      </c>
      <c r="J78">
        <v>60</v>
      </c>
      <c r="K78">
        <v>1970</v>
      </c>
    </row>
    <row r="79" spans="1:11" x14ac:dyDescent="0.2">
      <c r="A79" t="s">
        <v>4</v>
      </c>
      <c r="B79" t="s">
        <v>3</v>
      </c>
      <c r="C79" t="s">
        <v>2</v>
      </c>
      <c r="D79">
        <v>48116</v>
      </c>
      <c r="E79" s="1">
        <v>43991</v>
      </c>
      <c r="F79">
        <v>8060</v>
      </c>
      <c r="G79" t="s">
        <v>7</v>
      </c>
      <c r="H79">
        <v>110</v>
      </c>
      <c r="I79" t="s">
        <v>6</v>
      </c>
      <c r="J79">
        <v>60</v>
      </c>
      <c r="K79">
        <v>4230</v>
      </c>
    </row>
    <row r="80" spans="1:11" x14ac:dyDescent="0.2">
      <c r="A80" t="s">
        <v>4</v>
      </c>
      <c r="B80" t="s">
        <v>3</v>
      </c>
      <c r="C80" t="s">
        <v>2</v>
      </c>
      <c r="D80">
        <v>45442</v>
      </c>
      <c r="E80" s="1">
        <v>43997</v>
      </c>
      <c r="F80">
        <v>8050</v>
      </c>
      <c r="G80" t="s">
        <v>1</v>
      </c>
      <c r="H80">
        <v>108</v>
      </c>
      <c r="I80" t="s">
        <v>0</v>
      </c>
      <c r="J80">
        <v>50</v>
      </c>
      <c r="K80">
        <v>1640</v>
      </c>
    </row>
    <row r="81" spans="1:11" x14ac:dyDescent="0.2">
      <c r="A81" t="s">
        <v>4</v>
      </c>
      <c r="B81" t="s">
        <v>3</v>
      </c>
      <c r="C81" t="s">
        <v>2</v>
      </c>
      <c r="D81">
        <v>45442</v>
      </c>
      <c r="E81" s="1">
        <v>43998</v>
      </c>
      <c r="F81">
        <v>8050</v>
      </c>
      <c r="G81" t="s">
        <v>1</v>
      </c>
      <c r="H81">
        <v>109</v>
      </c>
      <c r="I81" t="s">
        <v>8</v>
      </c>
      <c r="J81">
        <v>60</v>
      </c>
      <c r="K81">
        <v>1970</v>
      </c>
    </row>
    <row r="82" spans="1:11" x14ac:dyDescent="0.2">
      <c r="A82" t="s">
        <v>4</v>
      </c>
      <c r="B82" t="s">
        <v>3</v>
      </c>
      <c r="C82" t="s">
        <v>2</v>
      </c>
      <c r="D82">
        <v>45444</v>
      </c>
      <c r="E82" s="1">
        <v>43997</v>
      </c>
      <c r="F82">
        <v>8060</v>
      </c>
      <c r="G82" t="s">
        <v>7</v>
      </c>
      <c r="H82">
        <v>108</v>
      </c>
      <c r="I82" t="s">
        <v>0</v>
      </c>
      <c r="J82">
        <v>60</v>
      </c>
      <c r="K82">
        <v>1970</v>
      </c>
    </row>
    <row r="83" spans="1:11" x14ac:dyDescent="0.2">
      <c r="A83" t="s">
        <v>4</v>
      </c>
      <c r="B83" t="s">
        <v>3</v>
      </c>
      <c r="C83" t="s">
        <v>2</v>
      </c>
      <c r="D83">
        <v>45444</v>
      </c>
      <c r="E83" s="1">
        <v>43998</v>
      </c>
      <c r="F83">
        <v>8060</v>
      </c>
      <c r="G83" t="s">
        <v>7</v>
      </c>
      <c r="H83">
        <v>109</v>
      </c>
      <c r="I83" t="s">
        <v>8</v>
      </c>
      <c r="J83">
        <v>70</v>
      </c>
      <c r="K83">
        <v>2300</v>
      </c>
    </row>
    <row r="84" spans="1:11" x14ac:dyDescent="0.2">
      <c r="A84" t="s">
        <v>4</v>
      </c>
      <c r="B84" t="s">
        <v>3</v>
      </c>
      <c r="C84" t="s">
        <v>2</v>
      </c>
      <c r="D84">
        <v>45444</v>
      </c>
      <c r="E84" s="1">
        <v>44001</v>
      </c>
      <c r="F84">
        <v>8060</v>
      </c>
      <c r="G84" t="s">
        <v>7</v>
      </c>
      <c r="H84">
        <v>110</v>
      </c>
      <c r="I84" t="s">
        <v>6</v>
      </c>
      <c r="J84">
        <v>60</v>
      </c>
      <c r="K84">
        <v>4230</v>
      </c>
    </row>
    <row r="85" spans="1:11" x14ac:dyDescent="0.2">
      <c r="A85" t="s">
        <v>4</v>
      </c>
      <c r="B85" t="s">
        <v>3</v>
      </c>
      <c r="C85" t="s">
        <v>2</v>
      </c>
      <c r="D85">
        <v>45446</v>
      </c>
      <c r="E85" s="1">
        <v>43997</v>
      </c>
      <c r="F85">
        <v>8050</v>
      </c>
      <c r="G85" t="s">
        <v>1</v>
      </c>
      <c r="H85">
        <v>111</v>
      </c>
      <c r="I85" t="s">
        <v>5</v>
      </c>
      <c r="J85">
        <v>80</v>
      </c>
      <c r="K85">
        <v>1880</v>
      </c>
    </row>
    <row r="86" spans="1:11" x14ac:dyDescent="0.2">
      <c r="A86" t="s">
        <v>4</v>
      </c>
      <c r="B86" t="s">
        <v>3</v>
      </c>
      <c r="C86" t="s">
        <v>2</v>
      </c>
      <c r="D86">
        <v>45446</v>
      </c>
      <c r="E86" s="1">
        <v>43998</v>
      </c>
      <c r="F86">
        <v>8050</v>
      </c>
      <c r="G86" t="s">
        <v>1</v>
      </c>
      <c r="H86">
        <v>108</v>
      </c>
      <c r="I86" t="s">
        <v>0</v>
      </c>
      <c r="J86">
        <v>50</v>
      </c>
      <c r="K86">
        <v>1640</v>
      </c>
    </row>
    <row r="87" spans="1:11" x14ac:dyDescent="0.2">
      <c r="A87" t="s">
        <v>4</v>
      </c>
      <c r="B87" t="s">
        <v>3</v>
      </c>
      <c r="C87" t="s">
        <v>2</v>
      </c>
      <c r="D87">
        <v>44015</v>
      </c>
      <c r="E87" s="1">
        <v>44000</v>
      </c>
      <c r="F87">
        <v>8060</v>
      </c>
      <c r="G87" t="s">
        <v>7</v>
      </c>
      <c r="H87">
        <v>108</v>
      </c>
      <c r="I87" t="s">
        <v>0</v>
      </c>
      <c r="J87">
        <v>60</v>
      </c>
      <c r="K87">
        <v>1970</v>
      </c>
    </row>
    <row r="88" spans="1:11" x14ac:dyDescent="0.2">
      <c r="A88" t="s">
        <v>4</v>
      </c>
      <c r="B88" t="s">
        <v>3</v>
      </c>
      <c r="C88" t="s">
        <v>2</v>
      </c>
      <c r="D88">
        <v>44015</v>
      </c>
      <c r="E88" s="1">
        <v>44005</v>
      </c>
      <c r="F88">
        <v>8060</v>
      </c>
      <c r="G88" t="s">
        <v>7</v>
      </c>
      <c r="H88">
        <v>109</v>
      </c>
      <c r="I88" t="s">
        <v>8</v>
      </c>
      <c r="J88">
        <v>70</v>
      </c>
      <c r="K88">
        <v>2300</v>
      </c>
    </row>
    <row r="89" spans="1:11" x14ac:dyDescent="0.2">
      <c r="A89" t="s">
        <v>4</v>
      </c>
      <c r="B89" t="s">
        <v>3</v>
      </c>
      <c r="C89" t="s">
        <v>2</v>
      </c>
      <c r="D89">
        <v>44017</v>
      </c>
      <c r="E89" s="1">
        <v>43998</v>
      </c>
      <c r="F89">
        <v>8060</v>
      </c>
      <c r="G89" t="s">
        <v>7</v>
      </c>
      <c r="H89">
        <v>108</v>
      </c>
      <c r="I89" t="s">
        <v>0</v>
      </c>
      <c r="J89">
        <v>70</v>
      </c>
      <c r="K89">
        <v>2300</v>
      </c>
    </row>
    <row r="90" spans="1:11" x14ac:dyDescent="0.2">
      <c r="A90" t="s">
        <v>4</v>
      </c>
      <c r="B90" t="s">
        <v>3</v>
      </c>
      <c r="C90" t="s">
        <v>2</v>
      </c>
      <c r="D90">
        <v>44017</v>
      </c>
      <c r="E90" s="1">
        <v>44007</v>
      </c>
      <c r="F90">
        <v>8060</v>
      </c>
      <c r="G90" t="s">
        <v>7</v>
      </c>
      <c r="H90">
        <v>109</v>
      </c>
      <c r="I90" t="s">
        <v>8</v>
      </c>
      <c r="J90">
        <v>70</v>
      </c>
      <c r="K90">
        <v>2300</v>
      </c>
    </row>
    <row r="91" spans="1:11" x14ac:dyDescent="0.2">
      <c r="A91" t="s">
        <v>4</v>
      </c>
      <c r="B91" t="s">
        <v>3</v>
      </c>
      <c r="C91" t="s">
        <v>2</v>
      </c>
      <c r="D91">
        <v>44016</v>
      </c>
      <c r="E91" s="1">
        <v>43998</v>
      </c>
      <c r="F91">
        <v>8050</v>
      </c>
      <c r="G91" t="s">
        <v>1</v>
      </c>
      <c r="H91">
        <v>108</v>
      </c>
      <c r="I91" t="s">
        <v>0</v>
      </c>
      <c r="J91">
        <v>70</v>
      </c>
      <c r="K91">
        <v>2300</v>
      </c>
    </row>
    <row r="92" spans="1:11" x14ac:dyDescent="0.2">
      <c r="A92" t="s">
        <v>4</v>
      </c>
      <c r="B92" t="s">
        <v>3</v>
      </c>
      <c r="C92" t="s">
        <v>2</v>
      </c>
      <c r="D92">
        <v>44016</v>
      </c>
      <c r="E92" s="1">
        <v>44000</v>
      </c>
      <c r="F92">
        <v>8050</v>
      </c>
      <c r="G92" t="s">
        <v>1</v>
      </c>
      <c r="H92">
        <v>109</v>
      </c>
      <c r="I92" t="s">
        <v>8</v>
      </c>
      <c r="J92">
        <v>60</v>
      </c>
      <c r="K92">
        <v>1970</v>
      </c>
    </row>
    <row r="93" spans="1:11" x14ac:dyDescent="0.2">
      <c r="A93" t="s">
        <v>4</v>
      </c>
      <c r="B93" t="s">
        <v>3</v>
      </c>
      <c r="C93" t="s">
        <v>2</v>
      </c>
      <c r="D93">
        <v>44016</v>
      </c>
      <c r="E93" s="1">
        <v>44005</v>
      </c>
      <c r="F93">
        <v>8050</v>
      </c>
      <c r="G93" t="s">
        <v>1</v>
      </c>
      <c r="H93">
        <v>110</v>
      </c>
      <c r="I93" t="s">
        <v>6</v>
      </c>
      <c r="J93">
        <v>50</v>
      </c>
      <c r="K93">
        <v>3520</v>
      </c>
    </row>
    <row r="94" spans="1:11" x14ac:dyDescent="0.2">
      <c r="A94" t="s">
        <v>4</v>
      </c>
      <c r="B94" t="s">
        <v>3</v>
      </c>
      <c r="C94" t="s">
        <v>2</v>
      </c>
      <c r="D94">
        <v>48097</v>
      </c>
      <c r="E94" s="1">
        <v>44011</v>
      </c>
      <c r="F94">
        <v>8060</v>
      </c>
      <c r="G94" t="s">
        <v>7</v>
      </c>
      <c r="H94">
        <v>109</v>
      </c>
      <c r="I94" t="s">
        <v>8</v>
      </c>
      <c r="J94">
        <v>60</v>
      </c>
      <c r="K94">
        <v>1970</v>
      </c>
    </row>
    <row r="95" spans="1:11" x14ac:dyDescent="0.2">
      <c r="A95" t="s">
        <v>4</v>
      </c>
      <c r="B95" t="s">
        <v>3</v>
      </c>
      <c r="C95" t="s">
        <v>2</v>
      </c>
      <c r="D95">
        <v>48097</v>
      </c>
      <c r="E95" s="1">
        <v>44012</v>
      </c>
      <c r="F95">
        <v>8060</v>
      </c>
      <c r="G95" t="s">
        <v>7</v>
      </c>
      <c r="H95">
        <v>110</v>
      </c>
      <c r="I95" t="s">
        <v>6</v>
      </c>
      <c r="J95">
        <v>70</v>
      </c>
      <c r="K95">
        <v>4930</v>
      </c>
    </row>
    <row r="96" spans="1:11" x14ac:dyDescent="0.2">
      <c r="A96" t="s">
        <v>4</v>
      </c>
      <c r="B96" t="s">
        <v>3</v>
      </c>
      <c r="C96" t="s">
        <v>2</v>
      </c>
      <c r="D96">
        <v>48099</v>
      </c>
      <c r="E96" s="1">
        <v>43997</v>
      </c>
      <c r="F96">
        <v>8050</v>
      </c>
      <c r="G96" t="s">
        <v>1</v>
      </c>
      <c r="H96">
        <v>109</v>
      </c>
      <c r="I96" t="s">
        <v>8</v>
      </c>
      <c r="J96">
        <v>60</v>
      </c>
      <c r="K96">
        <v>1970</v>
      </c>
    </row>
    <row r="97" spans="1:11" x14ac:dyDescent="0.2">
      <c r="A97" t="s">
        <v>4</v>
      </c>
      <c r="B97" t="s">
        <v>3</v>
      </c>
      <c r="C97" t="s">
        <v>2</v>
      </c>
      <c r="D97">
        <v>48099</v>
      </c>
      <c r="E97" s="1">
        <v>43998</v>
      </c>
      <c r="F97">
        <v>8050</v>
      </c>
      <c r="G97" t="s">
        <v>1</v>
      </c>
      <c r="H97">
        <v>110</v>
      </c>
      <c r="I97" t="s">
        <v>6</v>
      </c>
      <c r="J97">
        <v>60</v>
      </c>
      <c r="K97">
        <v>4230</v>
      </c>
    </row>
    <row r="98" spans="1:11" x14ac:dyDescent="0.2">
      <c r="A98" t="s">
        <v>4</v>
      </c>
      <c r="B98" t="s">
        <v>3</v>
      </c>
      <c r="C98" t="s">
        <v>2</v>
      </c>
      <c r="D98">
        <v>48099</v>
      </c>
      <c r="E98" s="1">
        <v>43999</v>
      </c>
      <c r="F98">
        <v>8050</v>
      </c>
      <c r="G98" t="s">
        <v>1</v>
      </c>
      <c r="H98">
        <v>111</v>
      </c>
      <c r="I98" t="s">
        <v>5</v>
      </c>
      <c r="J98">
        <v>60</v>
      </c>
      <c r="K98">
        <v>1410</v>
      </c>
    </row>
    <row r="99" spans="1:11" x14ac:dyDescent="0.2">
      <c r="A99" t="s">
        <v>4</v>
      </c>
      <c r="B99" t="s">
        <v>3</v>
      </c>
      <c r="C99" t="s">
        <v>2</v>
      </c>
      <c r="D99">
        <v>48101</v>
      </c>
      <c r="E99" s="1">
        <v>44000</v>
      </c>
      <c r="F99">
        <v>8060</v>
      </c>
      <c r="G99" t="s">
        <v>7</v>
      </c>
      <c r="H99">
        <v>109</v>
      </c>
      <c r="I99" t="s">
        <v>8</v>
      </c>
      <c r="J99">
        <v>60</v>
      </c>
      <c r="K99">
        <v>1970</v>
      </c>
    </row>
    <row r="100" spans="1:11" x14ac:dyDescent="0.2">
      <c r="A100" t="s">
        <v>4</v>
      </c>
      <c r="B100" t="s">
        <v>3</v>
      </c>
      <c r="C100" t="s">
        <v>2</v>
      </c>
      <c r="D100">
        <v>48101</v>
      </c>
      <c r="E100" s="1">
        <v>44001</v>
      </c>
      <c r="F100">
        <v>8060</v>
      </c>
      <c r="G100" t="s">
        <v>7</v>
      </c>
      <c r="H100">
        <v>110</v>
      </c>
      <c r="I100" t="s">
        <v>6</v>
      </c>
      <c r="J100">
        <v>50</v>
      </c>
      <c r="K100">
        <v>3520</v>
      </c>
    </row>
    <row r="101" spans="1:11" x14ac:dyDescent="0.2">
      <c r="A101" t="s">
        <v>4</v>
      </c>
      <c r="B101" t="s">
        <v>3</v>
      </c>
      <c r="C101" t="s">
        <v>2</v>
      </c>
      <c r="D101">
        <v>45427</v>
      </c>
      <c r="E101" s="1">
        <v>44002</v>
      </c>
      <c r="F101">
        <v>8050</v>
      </c>
      <c r="G101" t="s">
        <v>1</v>
      </c>
      <c r="H101">
        <v>108</v>
      </c>
      <c r="I101" t="s">
        <v>0</v>
      </c>
      <c r="J101">
        <v>70</v>
      </c>
      <c r="K101">
        <v>2300</v>
      </c>
    </row>
    <row r="102" spans="1:11" x14ac:dyDescent="0.2">
      <c r="A102" t="s">
        <v>4</v>
      </c>
      <c r="B102" t="s">
        <v>3</v>
      </c>
      <c r="C102" t="s">
        <v>2</v>
      </c>
      <c r="D102">
        <v>45427</v>
      </c>
      <c r="E102" s="1">
        <v>44003</v>
      </c>
      <c r="F102">
        <v>8050</v>
      </c>
      <c r="G102" t="s">
        <v>1</v>
      </c>
      <c r="H102">
        <v>109</v>
      </c>
      <c r="I102" t="s">
        <v>8</v>
      </c>
      <c r="J102">
        <v>60</v>
      </c>
      <c r="K102">
        <v>1970</v>
      </c>
    </row>
    <row r="103" spans="1:11" x14ac:dyDescent="0.2">
      <c r="A103" t="s">
        <v>4</v>
      </c>
      <c r="B103" t="s">
        <v>3</v>
      </c>
      <c r="C103" t="s">
        <v>2</v>
      </c>
      <c r="D103">
        <v>45429</v>
      </c>
      <c r="E103" s="1">
        <v>44004</v>
      </c>
      <c r="F103">
        <v>8060</v>
      </c>
      <c r="G103" t="s">
        <v>7</v>
      </c>
      <c r="H103">
        <v>108</v>
      </c>
      <c r="I103" t="s">
        <v>0</v>
      </c>
      <c r="J103">
        <v>80</v>
      </c>
      <c r="K103">
        <v>2630</v>
      </c>
    </row>
    <row r="104" spans="1:11" x14ac:dyDescent="0.2">
      <c r="A104" t="s">
        <v>4</v>
      </c>
      <c r="B104" t="s">
        <v>3</v>
      </c>
      <c r="C104" t="s">
        <v>2</v>
      </c>
      <c r="D104">
        <v>45429</v>
      </c>
      <c r="E104" s="1">
        <v>44005</v>
      </c>
      <c r="F104">
        <v>8060</v>
      </c>
      <c r="G104" t="s">
        <v>7</v>
      </c>
      <c r="H104">
        <v>109</v>
      </c>
      <c r="I104" t="s">
        <v>8</v>
      </c>
      <c r="J104">
        <v>80</v>
      </c>
      <c r="K104">
        <v>2630</v>
      </c>
    </row>
    <row r="105" spans="1:11" x14ac:dyDescent="0.2">
      <c r="A105" t="s">
        <v>4</v>
      </c>
      <c r="B105" t="s">
        <v>3</v>
      </c>
      <c r="C105" t="s">
        <v>2</v>
      </c>
      <c r="D105">
        <v>45429</v>
      </c>
      <c r="E105" s="1">
        <v>44006</v>
      </c>
      <c r="F105">
        <v>8060</v>
      </c>
      <c r="G105" t="s">
        <v>7</v>
      </c>
      <c r="H105">
        <v>110</v>
      </c>
      <c r="I105" t="s">
        <v>6</v>
      </c>
      <c r="J105">
        <v>50</v>
      </c>
      <c r="K105">
        <v>3520</v>
      </c>
    </row>
    <row r="106" spans="1:11" x14ac:dyDescent="0.2">
      <c r="A106" t="s">
        <v>4</v>
      </c>
      <c r="B106" t="s">
        <v>3</v>
      </c>
      <c r="C106" t="s">
        <v>2</v>
      </c>
      <c r="D106">
        <v>45431</v>
      </c>
      <c r="E106" s="1">
        <v>44007</v>
      </c>
      <c r="F106">
        <v>8050</v>
      </c>
      <c r="G106" t="s">
        <v>1</v>
      </c>
      <c r="H106">
        <v>111</v>
      </c>
      <c r="I106" t="s">
        <v>5</v>
      </c>
      <c r="J106">
        <v>60</v>
      </c>
      <c r="K106">
        <v>1410</v>
      </c>
    </row>
    <row r="107" spans="1:11" x14ac:dyDescent="0.2">
      <c r="A107" t="s">
        <v>4</v>
      </c>
      <c r="B107" t="s">
        <v>3</v>
      </c>
      <c r="C107" t="s">
        <v>2</v>
      </c>
      <c r="D107">
        <v>45431</v>
      </c>
      <c r="E107" s="1">
        <v>44008</v>
      </c>
      <c r="F107">
        <v>8050</v>
      </c>
      <c r="G107" t="s">
        <v>1</v>
      </c>
      <c r="H107">
        <v>108</v>
      </c>
      <c r="I107" t="s">
        <v>0</v>
      </c>
      <c r="J107">
        <v>60</v>
      </c>
      <c r="K107">
        <v>1970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C9D2D-F649-4C72-B16E-2A477B1C29B9}">
  <dimension ref="B4:C14"/>
  <sheetViews>
    <sheetView workbookViewId="0">
      <selection activeCell="C22" sqref="C22"/>
    </sheetView>
  </sheetViews>
  <sheetFormatPr defaultRowHeight="12.75" x14ac:dyDescent="0.2"/>
  <cols>
    <col min="2" max="2" width="25.85546875" customWidth="1"/>
    <col min="3" max="3" width="11.7109375" customWidth="1"/>
    <col min="4" max="4" width="9.5703125" customWidth="1"/>
    <col min="5" max="5" width="13" customWidth="1"/>
    <col min="6" max="6" width="14.5703125" customWidth="1"/>
    <col min="7" max="7" width="12.42578125" customWidth="1"/>
  </cols>
  <sheetData>
    <row r="4" spans="2:3" x14ac:dyDescent="0.2">
      <c r="B4" s="10" t="s">
        <v>50</v>
      </c>
      <c r="C4" s="10" t="s">
        <v>51</v>
      </c>
    </row>
    <row r="5" spans="2:3" x14ac:dyDescent="0.2">
      <c r="B5" s="10">
        <v>1</v>
      </c>
      <c r="C5" s="10">
        <f>B5^2</f>
        <v>1</v>
      </c>
    </row>
    <row r="6" spans="2:3" x14ac:dyDescent="0.2">
      <c r="B6" s="10">
        <v>3</v>
      </c>
      <c r="C6" s="10">
        <f t="shared" ref="C6:C14" si="0">B6^2</f>
        <v>9</v>
      </c>
    </row>
    <row r="7" spans="2:3" x14ac:dyDescent="0.2">
      <c r="B7" s="10">
        <v>5</v>
      </c>
      <c r="C7" s="10">
        <f t="shared" si="0"/>
        <v>25</v>
      </c>
    </row>
    <row r="8" spans="2:3" x14ac:dyDescent="0.2">
      <c r="B8" s="10">
        <v>7</v>
      </c>
      <c r="C8" s="10">
        <f t="shared" si="0"/>
        <v>49</v>
      </c>
    </row>
    <row r="9" spans="2:3" x14ac:dyDescent="0.2">
      <c r="B9" s="10">
        <v>9</v>
      </c>
      <c r="C9" s="10">
        <f t="shared" si="0"/>
        <v>81</v>
      </c>
    </row>
    <row r="10" spans="2:3" x14ac:dyDescent="0.2">
      <c r="B10" s="10">
        <v>11</v>
      </c>
      <c r="C10" s="10">
        <f t="shared" si="0"/>
        <v>121</v>
      </c>
    </row>
    <row r="11" spans="2:3" x14ac:dyDescent="0.2">
      <c r="B11" s="10">
        <v>13</v>
      </c>
      <c r="C11" s="10">
        <f t="shared" si="0"/>
        <v>169</v>
      </c>
    </row>
    <row r="12" spans="2:3" x14ac:dyDescent="0.2">
      <c r="B12" s="10">
        <v>15</v>
      </c>
      <c r="C12" s="10">
        <f t="shared" si="0"/>
        <v>225</v>
      </c>
    </row>
    <row r="13" spans="2:3" x14ac:dyDescent="0.2">
      <c r="B13" s="10">
        <v>17</v>
      </c>
      <c r="C13" s="10">
        <f t="shared" si="0"/>
        <v>289</v>
      </c>
    </row>
    <row r="14" spans="2:3" x14ac:dyDescent="0.2">
      <c r="B14" s="10">
        <v>19</v>
      </c>
      <c r="C14" s="10">
        <f t="shared" si="0"/>
        <v>361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F6AC7-7116-40B3-B0E5-564119D18EE7}">
  <dimension ref="A2:B18"/>
  <sheetViews>
    <sheetView workbookViewId="0">
      <selection activeCell="H16" sqref="H16"/>
    </sheetView>
  </sheetViews>
  <sheetFormatPr defaultRowHeight="12.75" x14ac:dyDescent="0.2"/>
  <cols>
    <col min="1" max="1" width="24.5703125" bestFit="1" customWidth="1"/>
    <col min="2" max="2" width="10.42578125" bestFit="1" customWidth="1"/>
  </cols>
  <sheetData>
    <row r="2" spans="1:2" ht="16.5" thickBot="1" x14ac:dyDescent="0.3">
      <c r="A2" s="2" t="s">
        <v>30</v>
      </c>
      <c r="B2" s="2" t="s">
        <v>28</v>
      </c>
    </row>
    <row r="3" spans="1:2" ht="13.5" thickTop="1" x14ac:dyDescent="0.2">
      <c r="A3" s="5" t="s">
        <v>0</v>
      </c>
      <c r="B3" s="6">
        <v>27710</v>
      </c>
    </row>
    <row r="4" spans="1:2" x14ac:dyDescent="0.2">
      <c r="A4" s="5" t="s">
        <v>8</v>
      </c>
      <c r="B4" s="6">
        <v>33170</v>
      </c>
    </row>
    <row r="5" spans="1:2" x14ac:dyDescent="0.2">
      <c r="A5" s="5" t="s">
        <v>15</v>
      </c>
      <c r="B5" s="6">
        <v>750</v>
      </c>
    </row>
    <row r="6" spans="1:2" x14ac:dyDescent="0.2">
      <c r="A6" s="5" t="s">
        <v>21</v>
      </c>
      <c r="B6" s="6">
        <v>2500</v>
      </c>
    </row>
    <row r="7" spans="1:2" x14ac:dyDescent="0.2">
      <c r="A7" s="5"/>
      <c r="B7" s="6"/>
    </row>
    <row r="8" spans="1:2" x14ac:dyDescent="0.2">
      <c r="A8" s="5"/>
      <c r="B8" s="6"/>
    </row>
    <row r="9" spans="1:2" x14ac:dyDescent="0.2">
      <c r="A9" s="5"/>
      <c r="B9" s="6"/>
    </row>
    <row r="10" spans="1:2" x14ac:dyDescent="0.2">
      <c r="A10" s="5"/>
      <c r="B10" s="6"/>
    </row>
    <row r="11" spans="1:2" x14ac:dyDescent="0.2">
      <c r="A11" s="5"/>
      <c r="B11" s="6"/>
    </row>
    <row r="12" spans="1:2" x14ac:dyDescent="0.2">
      <c r="A12" s="5"/>
      <c r="B12" s="6"/>
    </row>
    <row r="13" spans="1:2" x14ac:dyDescent="0.2">
      <c r="A13" s="5"/>
      <c r="B13" s="6"/>
    </row>
    <row r="14" spans="1:2" x14ac:dyDescent="0.2">
      <c r="A14" s="5"/>
      <c r="B14" s="6"/>
    </row>
    <row r="15" spans="1:2" x14ac:dyDescent="0.2">
      <c r="A15" s="5"/>
      <c r="B15" s="6"/>
    </row>
    <row r="16" spans="1:2" x14ac:dyDescent="0.2">
      <c r="A16" s="5"/>
      <c r="B16" s="6"/>
    </row>
    <row r="17" spans="1:2" x14ac:dyDescent="0.2">
      <c r="A17" s="5"/>
      <c r="B17" s="6"/>
    </row>
    <row r="18" spans="1:2" x14ac:dyDescent="0.2">
      <c r="A18" s="5"/>
      <c r="B18"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315F3-32F9-4902-AEDD-558443E81AF6}">
  <dimension ref="A2:X19"/>
  <sheetViews>
    <sheetView workbookViewId="0">
      <selection activeCell="J23" sqref="J23"/>
    </sheetView>
  </sheetViews>
  <sheetFormatPr defaultRowHeight="12.75" x14ac:dyDescent="0.2"/>
  <cols>
    <col min="1" max="1" width="24.85546875" bestFit="1" customWidth="1"/>
    <col min="2" max="2" width="15.140625" bestFit="1" customWidth="1"/>
    <col min="4" max="4" width="14.85546875" bestFit="1" customWidth="1"/>
    <col min="5" max="5" width="16.140625" customWidth="1"/>
    <col min="6" max="6" width="14" bestFit="1" customWidth="1"/>
    <col min="7" max="7" width="19.42578125" customWidth="1"/>
    <col min="8" max="8" width="15.85546875" customWidth="1"/>
    <col min="9" max="9" width="21.42578125" customWidth="1"/>
    <col min="11" max="11" width="10.5703125" customWidth="1"/>
    <col min="13" max="13" width="24.5703125" bestFit="1" customWidth="1"/>
  </cols>
  <sheetData>
    <row r="2" spans="1:24" x14ac:dyDescent="0.2">
      <c r="E2" s="1"/>
    </row>
    <row r="3" spans="1:24" ht="15" x14ac:dyDescent="0.25">
      <c r="A3" s="11" t="s">
        <v>38</v>
      </c>
      <c r="B3" s="11" t="s">
        <v>37</v>
      </c>
      <c r="C3" s="11" t="s">
        <v>36</v>
      </c>
      <c r="D3" s="11" t="s">
        <v>35</v>
      </c>
      <c r="E3" s="12" t="s">
        <v>34</v>
      </c>
      <c r="F3" s="11" t="s">
        <v>33</v>
      </c>
      <c r="G3" s="11" t="s">
        <v>32</v>
      </c>
      <c r="H3" s="11" t="s">
        <v>31</v>
      </c>
      <c r="I3" s="11" t="s">
        <v>30</v>
      </c>
      <c r="J3" s="11" t="s">
        <v>29</v>
      </c>
      <c r="K3" s="11" t="s">
        <v>28</v>
      </c>
      <c r="X3" t="s">
        <v>22</v>
      </c>
    </row>
    <row r="4" spans="1:24" x14ac:dyDescent="0.2">
      <c r="A4" t="s">
        <v>4</v>
      </c>
      <c r="B4" t="s">
        <v>3</v>
      </c>
      <c r="C4" t="s">
        <v>2</v>
      </c>
      <c r="D4">
        <v>44030</v>
      </c>
      <c r="E4" s="1">
        <v>43984</v>
      </c>
      <c r="F4">
        <v>8060</v>
      </c>
      <c r="G4" t="s">
        <v>7</v>
      </c>
      <c r="H4">
        <v>109</v>
      </c>
      <c r="I4" t="s">
        <v>8</v>
      </c>
      <c r="J4">
        <v>60</v>
      </c>
      <c r="K4">
        <v>1970</v>
      </c>
      <c r="X4" t="s">
        <v>27</v>
      </c>
    </row>
    <row r="5" spans="1:24" x14ac:dyDescent="0.2">
      <c r="A5" t="s">
        <v>4</v>
      </c>
      <c r="B5" t="s">
        <v>3</v>
      </c>
      <c r="C5" t="s">
        <v>2</v>
      </c>
      <c r="D5">
        <v>44032</v>
      </c>
      <c r="E5" s="1">
        <v>43984</v>
      </c>
      <c r="F5">
        <v>8060</v>
      </c>
      <c r="G5" t="s">
        <v>7</v>
      </c>
      <c r="H5">
        <v>109</v>
      </c>
      <c r="I5" t="s">
        <v>8</v>
      </c>
      <c r="J5">
        <v>70</v>
      </c>
      <c r="K5">
        <v>2300</v>
      </c>
      <c r="X5" t="s">
        <v>26</v>
      </c>
    </row>
    <row r="6" spans="1:24" x14ac:dyDescent="0.2">
      <c r="A6" t="s">
        <v>4</v>
      </c>
      <c r="B6" t="s">
        <v>3</v>
      </c>
      <c r="C6" t="s">
        <v>2</v>
      </c>
      <c r="D6">
        <v>44031</v>
      </c>
      <c r="E6" s="1">
        <v>43984</v>
      </c>
      <c r="F6">
        <v>8050</v>
      </c>
      <c r="G6" t="s">
        <v>1</v>
      </c>
      <c r="H6">
        <v>109</v>
      </c>
      <c r="I6" t="s">
        <v>8</v>
      </c>
      <c r="J6">
        <v>50</v>
      </c>
      <c r="K6">
        <v>1640</v>
      </c>
      <c r="X6" t="s">
        <v>25</v>
      </c>
    </row>
    <row r="7" spans="1:24" x14ac:dyDescent="0.2">
      <c r="A7" t="s">
        <v>4</v>
      </c>
      <c r="B7" t="s">
        <v>3</v>
      </c>
      <c r="C7" t="s">
        <v>2</v>
      </c>
      <c r="D7">
        <v>48112</v>
      </c>
      <c r="E7" s="1">
        <v>43990</v>
      </c>
      <c r="F7">
        <v>8060</v>
      </c>
      <c r="G7" t="s">
        <v>7</v>
      </c>
      <c r="H7">
        <v>109</v>
      </c>
      <c r="I7" t="s">
        <v>8</v>
      </c>
      <c r="J7">
        <v>60</v>
      </c>
      <c r="K7">
        <v>1970</v>
      </c>
      <c r="X7" t="s">
        <v>14</v>
      </c>
    </row>
    <row r="8" spans="1:24" x14ac:dyDescent="0.2">
      <c r="A8" t="s">
        <v>4</v>
      </c>
      <c r="B8" t="s">
        <v>3</v>
      </c>
      <c r="C8" t="s">
        <v>2</v>
      </c>
      <c r="D8">
        <v>48114</v>
      </c>
      <c r="E8" s="1">
        <v>43990</v>
      </c>
      <c r="F8">
        <v>8050</v>
      </c>
      <c r="G8" t="s">
        <v>1</v>
      </c>
      <c r="H8">
        <v>109</v>
      </c>
      <c r="I8" t="s">
        <v>8</v>
      </c>
      <c r="J8">
        <v>60</v>
      </c>
      <c r="K8">
        <v>1970</v>
      </c>
      <c r="X8" t="s">
        <v>9</v>
      </c>
    </row>
    <row r="9" spans="1:24" x14ac:dyDescent="0.2">
      <c r="A9" t="s">
        <v>4</v>
      </c>
      <c r="B9" t="s">
        <v>3</v>
      </c>
      <c r="C9" t="s">
        <v>2</v>
      </c>
      <c r="D9">
        <v>48116</v>
      </c>
      <c r="E9" s="1">
        <v>43990</v>
      </c>
      <c r="F9">
        <v>8060</v>
      </c>
      <c r="G9" t="s">
        <v>7</v>
      </c>
      <c r="H9">
        <v>109</v>
      </c>
      <c r="I9" t="s">
        <v>8</v>
      </c>
      <c r="J9">
        <v>60</v>
      </c>
      <c r="K9">
        <v>1970</v>
      </c>
      <c r="X9" t="s">
        <v>15</v>
      </c>
    </row>
    <row r="10" spans="1:24" x14ac:dyDescent="0.2">
      <c r="A10" t="s">
        <v>4</v>
      </c>
      <c r="B10" t="s">
        <v>3</v>
      </c>
      <c r="C10" t="s">
        <v>2</v>
      </c>
      <c r="D10">
        <v>45442</v>
      </c>
      <c r="E10" s="1">
        <v>43998</v>
      </c>
      <c r="F10">
        <v>8050</v>
      </c>
      <c r="G10" t="s">
        <v>1</v>
      </c>
      <c r="H10">
        <v>109</v>
      </c>
      <c r="I10" t="s">
        <v>8</v>
      </c>
      <c r="J10">
        <v>60</v>
      </c>
      <c r="K10">
        <v>1970</v>
      </c>
      <c r="X10" t="s">
        <v>0</v>
      </c>
    </row>
    <row r="11" spans="1:24" x14ac:dyDescent="0.2">
      <c r="A11" t="s">
        <v>4</v>
      </c>
      <c r="B11" t="s">
        <v>3</v>
      </c>
      <c r="C11" t="s">
        <v>2</v>
      </c>
      <c r="D11">
        <v>45444</v>
      </c>
      <c r="E11" s="1">
        <v>43998</v>
      </c>
      <c r="F11">
        <v>8060</v>
      </c>
      <c r="G11" t="s">
        <v>7</v>
      </c>
      <c r="H11">
        <v>109</v>
      </c>
      <c r="I11" t="s">
        <v>8</v>
      </c>
      <c r="J11">
        <v>70</v>
      </c>
      <c r="K11">
        <v>2300</v>
      </c>
      <c r="X11" t="s">
        <v>21</v>
      </c>
    </row>
    <row r="12" spans="1:24" x14ac:dyDescent="0.2">
      <c r="A12" t="s">
        <v>4</v>
      </c>
      <c r="B12" t="s">
        <v>3</v>
      </c>
      <c r="C12" t="s">
        <v>2</v>
      </c>
      <c r="D12">
        <v>44015</v>
      </c>
      <c r="E12" s="1">
        <v>44005</v>
      </c>
      <c r="F12">
        <v>8060</v>
      </c>
      <c r="G12" t="s">
        <v>7</v>
      </c>
      <c r="H12">
        <v>109</v>
      </c>
      <c r="I12" t="s">
        <v>8</v>
      </c>
      <c r="J12">
        <v>70</v>
      </c>
      <c r="K12">
        <v>2300</v>
      </c>
      <c r="X12" t="s">
        <v>20</v>
      </c>
    </row>
    <row r="13" spans="1:24" x14ac:dyDescent="0.2">
      <c r="A13" t="s">
        <v>4</v>
      </c>
      <c r="B13" t="s">
        <v>3</v>
      </c>
      <c r="C13" t="s">
        <v>2</v>
      </c>
      <c r="D13">
        <v>44017</v>
      </c>
      <c r="E13" s="1">
        <v>44007</v>
      </c>
      <c r="F13">
        <v>8060</v>
      </c>
      <c r="G13" t="s">
        <v>7</v>
      </c>
      <c r="H13">
        <v>109</v>
      </c>
      <c r="I13" t="s">
        <v>8</v>
      </c>
      <c r="J13">
        <v>70</v>
      </c>
      <c r="K13">
        <v>2300</v>
      </c>
      <c r="X13" t="s">
        <v>18</v>
      </c>
    </row>
    <row r="14" spans="1:24" x14ac:dyDescent="0.2">
      <c r="A14" t="s">
        <v>4</v>
      </c>
      <c r="B14" t="s">
        <v>3</v>
      </c>
      <c r="C14" t="s">
        <v>2</v>
      </c>
      <c r="D14">
        <v>44016</v>
      </c>
      <c r="E14" s="1">
        <v>44000</v>
      </c>
      <c r="F14">
        <v>8050</v>
      </c>
      <c r="G14" t="s">
        <v>1</v>
      </c>
      <c r="H14">
        <v>109</v>
      </c>
      <c r="I14" t="s">
        <v>8</v>
      </c>
      <c r="J14">
        <v>60</v>
      </c>
      <c r="K14">
        <v>1970</v>
      </c>
      <c r="X14" t="s">
        <v>17</v>
      </c>
    </row>
    <row r="15" spans="1:24" x14ac:dyDescent="0.2">
      <c r="A15" t="s">
        <v>4</v>
      </c>
      <c r="B15" t="s">
        <v>3</v>
      </c>
      <c r="C15" t="s">
        <v>2</v>
      </c>
      <c r="D15">
        <v>48097</v>
      </c>
      <c r="E15" s="1">
        <v>44011</v>
      </c>
      <c r="F15">
        <v>8060</v>
      </c>
      <c r="G15" t="s">
        <v>7</v>
      </c>
      <c r="H15">
        <v>109</v>
      </c>
      <c r="I15" t="s">
        <v>8</v>
      </c>
      <c r="J15">
        <v>60</v>
      </c>
      <c r="K15">
        <v>1970</v>
      </c>
      <c r="X15" t="s">
        <v>16</v>
      </c>
    </row>
    <row r="16" spans="1:24" x14ac:dyDescent="0.2">
      <c r="A16" t="s">
        <v>4</v>
      </c>
      <c r="B16" t="s">
        <v>3</v>
      </c>
      <c r="C16" t="s">
        <v>2</v>
      </c>
      <c r="D16">
        <v>48099</v>
      </c>
      <c r="E16" s="1">
        <v>43997</v>
      </c>
      <c r="F16">
        <v>8050</v>
      </c>
      <c r="G16" t="s">
        <v>1</v>
      </c>
      <c r="H16">
        <v>109</v>
      </c>
      <c r="I16" t="s">
        <v>8</v>
      </c>
      <c r="J16">
        <v>60</v>
      </c>
      <c r="K16">
        <v>1970</v>
      </c>
      <c r="X16" t="s">
        <v>8</v>
      </c>
    </row>
    <row r="17" spans="1:24" x14ac:dyDescent="0.2">
      <c r="A17" t="s">
        <v>4</v>
      </c>
      <c r="B17" t="s">
        <v>3</v>
      </c>
      <c r="C17" t="s">
        <v>2</v>
      </c>
      <c r="D17">
        <v>48101</v>
      </c>
      <c r="E17" s="1">
        <v>44000</v>
      </c>
      <c r="F17">
        <v>8060</v>
      </c>
      <c r="G17" t="s">
        <v>7</v>
      </c>
      <c r="H17">
        <v>109</v>
      </c>
      <c r="I17" t="s">
        <v>8</v>
      </c>
      <c r="J17">
        <v>60</v>
      </c>
      <c r="K17">
        <v>1970</v>
      </c>
      <c r="X17" t="s">
        <v>6</v>
      </c>
    </row>
    <row r="18" spans="1:24" x14ac:dyDescent="0.2">
      <c r="A18" t="s">
        <v>4</v>
      </c>
      <c r="B18" t="s">
        <v>3</v>
      </c>
      <c r="C18" t="s">
        <v>2</v>
      </c>
      <c r="D18">
        <v>45427</v>
      </c>
      <c r="E18" s="1">
        <v>44003</v>
      </c>
      <c r="F18">
        <v>8050</v>
      </c>
      <c r="G18" t="s">
        <v>1</v>
      </c>
      <c r="H18">
        <v>109</v>
      </c>
      <c r="I18" t="s">
        <v>8</v>
      </c>
      <c r="J18">
        <v>60</v>
      </c>
      <c r="K18">
        <v>1970</v>
      </c>
      <c r="X18" t="s">
        <v>5</v>
      </c>
    </row>
    <row r="19" spans="1:24" x14ac:dyDescent="0.2">
      <c r="A19" t="s">
        <v>4</v>
      </c>
      <c r="B19" t="s">
        <v>3</v>
      </c>
      <c r="C19" t="s">
        <v>2</v>
      </c>
      <c r="D19">
        <v>45429</v>
      </c>
      <c r="E19" s="1">
        <v>44005</v>
      </c>
      <c r="F19">
        <v>8060</v>
      </c>
      <c r="G19" t="s">
        <v>7</v>
      </c>
      <c r="H19">
        <v>109</v>
      </c>
      <c r="I19" t="s">
        <v>8</v>
      </c>
      <c r="J19">
        <v>80</v>
      </c>
      <c r="K19">
        <v>2630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B1426-5046-4CBF-92BD-4F72DC4FAF41}">
  <dimension ref="A1:B9"/>
  <sheetViews>
    <sheetView workbookViewId="0">
      <selection activeCell="D29" sqref="D29"/>
    </sheetView>
  </sheetViews>
  <sheetFormatPr defaultRowHeight="12.75" x14ac:dyDescent="0.2"/>
  <cols>
    <col min="1" max="1" width="14.42578125" bestFit="1" customWidth="1"/>
    <col min="2" max="2" width="17.7109375" bestFit="1" customWidth="1"/>
    <col min="3" max="4" width="22.28515625" bestFit="1" customWidth="1"/>
  </cols>
  <sheetData>
    <row r="1" spans="1:2" x14ac:dyDescent="0.2">
      <c r="A1" s="4" t="s">
        <v>37</v>
      </c>
      <c r="B1" t="s">
        <v>52</v>
      </c>
    </row>
    <row r="3" spans="1:2" x14ac:dyDescent="0.2">
      <c r="A3" s="4" t="s">
        <v>48</v>
      </c>
      <c r="B3" t="s">
        <v>42</v>
      </c>
    </row>
    <row r="4" spans="1:2" x14ac:dyDescent="0.2">
      <c r="A4" s="5" t="s">
        <v>11</v>
      </c>
      <c r="B4" s="6">
        <v>85740</v>
      </c>
    </row>
    <row r="5" spans="1:2" x14ac:dyDescent="0.2">
      <c r="A5" s="13" t="s">
        <v>24</v>
      </c>
      <c r="B5" s="6">
        <v>66100</v>
      </c>
    </row>
    <row r="6" spans="1:2" x14ac:dyDescent="0.2">
      <c r="A6" s="13" t="s">
        <v>13</v>
      </c>
      <c r="B6" s="6">
        <v>19640</v>
      </c>
    </row>
    <row r="7" spans="1:2" x14ac:dyDescent="0.2">
      <c r="A7" s="5" t="s">
        <v>2</v>
      </c>
      <c r="B7" s="6">
        <v>104540</v>
      </c>
    </row>
    <row r="8" spans="1:2" x14ac:dyDescent="0.2">
      <c r="A8" s="13" t="s">
        <v>4</v>
      </c>
      <c r="B8" s="6">
        <v>104540</v>
      </c>
    </row>
    <row r="9" spans="1:2" x14ac:dyDescent="0.2">
      <c r="A9" s="5" t="s">
        <v>40</v>
      </c>
      <c r="B9" s="6">
        <v>190280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FF9A4-21EE-4FBF-BE91-15C83583A9AE}">
  <dimension ref="A3:D21"/>
  <sheetViews>
    <sheetView tabSelected="1" workbookViewId="0">
      <selection activeCell="E19" sqref="E19"/>
    </sheetView>
  </sheetViews>
  <sheetFormatPr defaultRowHeight="12.75" x14ac:dyDescent="0.2"/>
  <cols>
    <col min="1" max="1" width="24.5703125" bestFit="1" customWidth="1"/>
    <col min="2" max="2" width="17" bestFit="1" customWidth="1"/>
    <col min="3" max="3" width="14.85546875" bestFit="1" customWidth="1"/>
    <col min="4" max="4" width="16.42578125" bestFit="1" customWidth="1"/>
    <col min="5" max="5" width="23.7109375" bestFit="1" customWidth="1"/>
  </cols>
  <sheetData>
    <row r="3" spans="1:4" x14ac:dyDescent="0.2">
      <c r="A3" s="4" t="s">
        <v>49</v>
      </c>
      <c r="B3" s="4" t="s">
        <v>39</v>
      </c>
    </row>
    <row r="4" spans="1:4" x14ac:dyDescent="0.2">
      <c r="A4" s="4" t="s">
        <v>48</v>
      </c>
      <c r="B4" t="s">
        <v>11</v>
      </c>
      <c r="C4" t="s">
        <v>2</v>
      </c>
      <c r="D4" t="s">
        <v>40</v>
      </c>
    </row>
    <row r="5" spans="1:4" x14ac:dyDescent="0.2">
      <c r="A5" s="5" t="s">
        <v>0</v>
      </c>
      <c r="B5" s="9">
        <v>338800</v>
      </c>
      <c r="C5" s="9">
        <v>18472500</v>
      </c>
      <c r="D5" s="9">
        <v>23830600</v>
      </c>
    </row>
    <row r="6" spans="1:4" x14ac:dyDescent="0.2">
      <c r="A6" s="5" t="s">
        <v>8</v>
      </c>
      <c r="B6" s="9">
        <v>0</v>
      </c>
      <c r="C6" s="9">
        <v>33501700</v>
      </c>
      <c r="D6" s="9">
        <v>33501700</v>
      </c>
    </row>
    <row r="7" spans="1:4" x14ac:dyDescent="0.2">
      <c r="A7" s="5" t="s">
        <v>15</v>
      </c>
      <c r="B7" s="9">
        <v>112500</v>
      </c>
      <c r="C7" s="9">
        <v>0</v>
      </c>
      <c r="D7" s="9">
        <v>112500</v>
      </c>
    </row>
    <row r="8" spans="1:4" x14ac:dyDescent="0.2">
      <c r="A8" s="5" t="s">
        <v>21</v>
      </c>
      <c r="B8" s="9">
        <v>250000</v>
      </c>
      <c r="C8" s="9">
        <v>0</v>
      </c>
      <c r="D8" s="9">
        <v>250000</v>
      </c>
    </row>
    <row r="9" spans="1:4" x14ac:dyDescent="0.2">
      <c r="A9" s="5" t="s">
        <v>20</v>
      </c>
      <c r="B9" s="9">
        <v>62500</v>
      </c>
      <c r="C9" s="9">
        <v>0</v>
      </c>
      <c r="D9" s="9">
        <v>62500</v>
      </c>
    </row>
    <row r="10" spans="1:4" x14ac:dyDescent="0.2">
      <c r="A10" s="5" t="s">
        <v>17</v>
      </c>
      <c r="B10" s="9">
        <v>793800</v>
      </c>
      <c r="C10" s="9">
        <v>0</v>
      </c>
      <c r="D10" s="9">
        <v>793800</v>
      </c>
    </row>
    <row r="11" spans="1:4" x14ac:dyDescent="0.2">
      <c r="A11" s="5" t="s">
        <v>18</v>
      </c>
      <c r="B11" s="9">
        <v>460800</v>
      </c>
      <c r="C11" s="9">
        <v>0</v>
      </c>
      <c r="D11" s="9">
        <v>460800</v>
      </c>
    </row>
    <row r="12" spans="1:4" x14ac:dyDescent="0.2">
      <c r="A12" s="5" t="s">
        <v>9</v>
      </c>
      <c r="B12" s="9">
        <v>145200</v>
      </c>
      <c r="C12" s="9">
        <v>0</v>
      </c>
      <c r="D12" s="9">
        <v>145200</v>
      </c>
    </row>
    <row r="13" spans="1:4" x14ac:dyDescent="0.2">
      <c r="A13" s="5" t="s">
        <v>14</v>
      </c>
      <c r="B13" s="9">
        <v>1153200</v>
      </c>
      <c r="C13" s="9">
        <v>0</v>
      </c>
      <c r="D13" s="9">
        <v>1153200</v>
      </c>
    </row>
    <row r="14" spans="1:4" x14ac:dyDescent="0.2">
      <c r="A14" s="5" t="s">
        <v>6</v>
      </c>
      <c r="B14" s="9">
        <v>0</v>
      </c>
      <c r="C14" s="9">
        <v>22891200</v>
      </c>
      <c r="D14" s="9">
        <v>22891200</v>
      </c>
    </row>
    <row r="15" spans="1:4" x14ac:dyDescent="0.2">
      <c r="A15" s="5" t="s">
        <v>5</v>
      </c>
      <c r="B15" s="9">
        <v>0</v>
      </c>
      <c r="C15" s="9">
        <v>1842400</v>
      </c>
      <c r="D15" s="9">
        <v>1842400</v>
      </c>
    </row>
    <row r="16" spans="1:4" x14ac:dyDescent="0.2">
      <c r="A16" s="5" t="s">
        <v>16</v>
      </c>
      <c r="B16" s="9">
        <v>21600</v>
      </c>
      <c r="C16" s="9">
        <v>0</v>
      </c>
      <c r="D16" s="9">
        <v>21600</v>
      </c>
    </row>
    <row r="17" spans="1:4" x14ac:dyDescent="0.2">
      <c r="A17" s="5" t="s">
        <v>25</v>
      </c>
      <c r="B17" s="9">
        <v>2048000</v>
      </c>
      <c r="C17" s="9">
        <v>0</v>
      </c>
      <c r="D17" s="9">
        <v>2048000</v>
      </c>
    </row>
    <row r="18" spans="1:4" x14ac:dyDescent="0.2">
      <c r="A18" s="5" t="s">
        <v>26</v>
      </c>
      <c r="B18" s="9">
        <v>20449000</v>
      </c>
      <c r="C18" s="9">
        <v>0</v>
      </c>
      <c r="D18" s="9">
        <v>20449000</v>
      </c>
    </row>
    <row r="19" spans="1:4" x14ac:dyDescent="0.2">
      <c r="A19" s="5" t="s">
        <v>27</v>
      </c>
      <c r="B19" s="9">
        <v>65146800</v>
      </c>
      <c r="C19" s="9">
        <v>0</v>
      </c>
      <c r="D19" s="9">
        <v>65146800</v>
      </c>
    </row>
    <row r="20" spans="1:4" x14ac:dyDescent="0.2">
      <c r="A20" s="5" t="s">
        <v>22</v>
      </c>
      <c r="B20" s="9">
        <v>35500800</v>
      </c>
      <c r="C20" s="9">
        <v>0</v>
      </c>
      <c r="D20" s="9">
        <v>35500800</v>
      </c>
    </row>
    <row r="21" spans="1:4" x14ac:dyDescent="0.2">
      <c r="A21" s="5" t="s">
        <v>40</v>
      </c>
      <c r="B21" s="9">
        <v>632761200</v>
      </c>
      <c r="C21" s="9">
        <v>272849400</v>
      </c>
      <c r="D21" s="9">
        <v>1900897200</v>
      </c>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C1C0C-2CA3-4BBB-8580-2A540B9F165F}">
  <dimension ref="A2:J52"/>
  <sheetViews>
    <sheetView topLeftCell="B1" workbookViewId="0">
      <selection activeCell="G27" sqref="G27"/>
    </sheetView>
  </sheetViews>
  <sheetFormatPr defaultRowHeight="12.75" x14ac:dyDescent="0.2"/>
  <cols>
    <col min="1" max="1" width="11.7109375" bestFit="1" customWidth="1"/>
    <col min="2" max="2" width="21.42578125" bestFit="1" customWidth="1"/>
    <col min="3" max="3" width="11.28515625" bestFit="1" customWidth="1"/>
    <col min="4" max="5" width="11.7109375" bestFit="1" customWidth="1"/>
    <col min="6" max="6" width="24.5703125" bestFit="1" customWidth="1"/>
    <col min="7" max="7" width="27.42578125" bestFit="1" customWidth="1"/>
    <col min="8" max="8" width="11.7109375" bestFit="1" customWidth="1"/>
    <col min="9" max="9" width="24.5703125" bestFit="1" customWidth="1"/>
    <col min="10" max="10" width="27.42578125" bestFit="1" customWidth="1"/>
  </cols>
  <sheetData>
    <row r="2" spans="1:9" x14ac:dyDescent="0.2">
      <c r="E2" s="4" t="s">
        <v>36</v>
      </c>
      <c r="F2" t="s">
        <v>45</v>
      </c>
    </row>
    <row r="3" spans="1:9" x14ac:dyDescent="0.2">
      <c r="A3" s="4" t="s">
        <v>36</v>
      </c>
      <c r="B3" t="s">
        <v>45</v>
      </c>
      <c r="C3" t="s">
        <v>44</v>
      </c>
      <c r="E3" s="5" t="s">
        <v>11</v>
      </c>
      <c r="F3" s="6">
        <v>63</v>
      </c>
    </row>
    <row r="4" spans="1:9" x14ac:dyDescent="0.2">
      <c r="A4" s="5" t="s">
        <v>11</v>
      </c>
      <c r="B4" s="6">
        <v>63</v>
      </c>
      <c r="C4" s="7">
        <v>85740</v>
      </c>
      <c r="E4" s="5" t="s">
        <v>40</v>
      </c>
      <c r="F4" s="6">
        <v>63</v>
      </c>
    </row>
    <row r="5" spans="1:9" x14ac:dyDescent="0.2">
      <c r="A5" s="5" t="s">
        <v>2</v>
      </c>
      <c r="B5" s="6">
        <v>42</v>
      </c>
      <c r="C5" s="7">
        <v>104540</v>
      </c>
    </row>
    <row r="6" spans="1:9" x14ac:dyDescent="0.2">
      <c r="A6" s="5" t="s">
        <v>40</v>
      </c>
      <c r="B6" s="6">
        <v>105</v>
      </c>
      <c r="C6" s="6">
        <v>190280</v>
      </c>
    </row>
    <row r="10" spans="1:9" x14ac:dyDescent="0.2">
      <c r="A10" s="4" t="s">
        <v>44</v>
      </c>
      <c r="B10" s="4" t="s">
        <v>46</v>
      </c>
      <c r="F10" s="4" t="s">
        <v>41</v>
      </c>
      <c r="G10" s="4" t="s">
        <v>39</v>
      </c>
    </row>
    <row r="11" spans="1:9" x14ac:dyDescent="0.2">
      <c r="A11" s="4" t="s">
        <v>36</v>
      </c>
      <c r="B11" t="s">
        <v>11</v>
      </c>
      <c r="C11" t="s">
        <v>2</v>
      </c>
      <c r="D11" t="s">
        <v>40</v>
      </c>
      <c r="F11" s="4" t="s">
        <v>36</v>
      </c>
      <c r="G11" t="s">
        <v>11</v>
      </c>
      <c r="H11" t="s">
        <v>2</v>
      </c>
      <c r="I11" t="s">
        <v>40</v>
      </c>
    </row>
    <row r="12" spans="1:9" x14ac:dyDescent="0.2">
      <c r="A12" s="5" t="s">
        <v>24</v>
      </c>
      <c r="B12" s="6">
        <v>66100</v>
      </c>
      <c r="C12" s="6"/>
      <c r="D12" s="6">
        <v>66100</v>
      </c>
      <c r="F12" s="5" t="s">
        <v>24</v>
      </c>
      <c r="G12" s="6">
        <v>6120</v>
      </c>
      <c r="H12" s="6"/>
      <c r="I12" s="6">
        <v>6120</v>
      </c>
    </row>
    <row r="13" spans="1:9" x14ac:dyDescent="0.2">
      <c r="A13" s="5" t="s">
        <v>13</v>
      </c>
      <c r="B13" s="6">
        <v>19640</v>
      </c>
      <c r="C13" s="6"/>
      <c r="D13" s="6">
        <v>19640</v>
      </c>
      <c r="F13" s="5" t="s">
        <v>13</v>
      </c>
      <c r="G13" s="6">
        <v>1260</v>
      </c>
      <c r="H13" s="6"/>
      <c r="I13" s="6">
        <v>1260</v>
      </c>
    </row>
    <row r="14" spans="1:9" x14ac:dyDescent="0.2">
      <c r="A14" s="5" t="s">
        <v>4</v>
      </c>
      <c r="B14" s="6"/>
      <c r="C14" s="6">
        <v>104540</v>
      </c>
      <c r="D14" s="6">
        <v>104540</v>
      </c>
      <c r="F14" s="5" t="s">
        <v>4</v>
      </c>
      <c r="G14" s="6"/>
      <c r="H14" s="6">
        <v>2610</v>
      </c>
      <c r="I14" s="6">
        <v>2610</v>
      </c>
    </row>
    <row r="15" spans="1:9" x14ac:dyDescent="0.2">
      <c r="A15" s="5" t="s">
        <v>40</v>
      </c>
      <c r="B15" s="6">
        <v>85740</v>
      </c>
      <c r="C15" s="6">
        <v>104540</v>
      </c>
      <c r="D15" s="6">
        <v>190280</v>
      </c>
      <c r="F15" s="5" t="s">
        <v>40</v>
      </c>
      <c r="G15" s="6">
        <v>7380</v>
      </c>
      <c r="H15" s="6">
        <v>2610</v>
      </c>
      <c r="I15" s="6">
        <v>9990</v>
      </c>
    </row>
    <row r="19" spans="1:10" x14ac:dyDescent="0.2">
      <c r="A19" s="4" t="s">
        <v>36</v>
      </c>
      <c r="B19" t="s">
        <v>41</v>
      </c>
      <c r="C19" t="s">
        <v>42</v>
      </c>
      <c r="F19" s="4" t="s">
        <v>36</v>
      </c>
      <c r="G19" t="s">
        <v>43</v>
      </c>
      <c r="I19" s="4" t="s">
        <v>36</v>
      </c>
      <c r="J19" t="s">
        <v>43</v>
      </c>
    </row>
    <row r="20" spans="1:10" x14ac:dyDescent="0.2">
      <c r="A20" s="5">
        <v>101</v>
      </c>
      <c r="B20" s="6">
        <v>310</v>
      </c>
      <c r="C20" s="6">
        <v>3720</v>
      </c>
      <c r="F20" s="5" t="s">
        <v>0</v>
      </c>
      <c r="G20" s="6">
        <v>3</v>
      </c>
      <c r="I20" s="5" t="s">
        <v>0</v>
      </c>
      <c r="J20" s="6">
        <v>3</v>
      </c>
    </row>
    <row r="21" spans="1:10" x14ac:dyDescent="0.2">
      <c r="A21" s="5">
        <v>102</v>
      </c>
      <c r="B21" s="6">
        <v>110</v>
      </c>
      <c r="C21" s="6">
        <v>1320</v>
      </c>
      <c r="F21" s="5" t="s">
        <v>15</v>
      </c>
      <c r="G21" s="6">
        <v>3</v>
      </c>
      <c r="I21" s="5" t="s">
        <v>15</v>
      </c>
      <c r="J21" s="6">
        <v>3</v>
      </c>
    </row>
    <row r="22" spans="1:10" x14ac:dyDescent="0.2">
      <c r="A22" s="5">
        <v>103</v>
      </c>
      <c r="B22" s="6">
        <v>1720</v>
      </c>
      <c r="C22" s="6">
        <v>20640</v>
      </c>
      <c r="F22" s="5" t="s">
        <v>21</v>
      </c>
      <c r="G22" s="6">
        <v>1</v>
      </c>
      <c r="I22" s="5" t="s">
        <v>21</v>
      </c>
      <c r="J22" s="6">
        <v>1</v>
      </c>
    </row>
    <row r="23" spans="1:10" x14ac:dyDescent="0.2">
      <c r="A23" s="5">
        <v>104</v>
      </c>
      <c r="B23" s="6">
        <v>2330</v>
      </c>
      <c r="C23" s="6">
        <v>27960</v>
      </c>
      <c r="F23" s="5" t="s">
        <v>20</v>
      </c>
      <c r="G23" s="6">
        <v>1</v>
      </c>
      <c r="I23" s="5" t="s">
        <v>20</v>
      </c>
      <c r="J23" s="6">
        <v>1</v>
      </c>
    </row>
    <row r="24" spans="1:10" x14ac:dyDescent="0.2">
      <c r="A24" s="5">
        <v>105</v>
      </c>
      <c r="B24" s="6">
        <v>1430</v>
      </c>
      <c r="C24" s="6">
        <v>14300</v>
      </c>
      <c r="F24" s="5" t="s">
        <v>17</v>
      </c>
      <c r="G24" s="6">
        <v>3</v>
      </c>
      <c r="I24" s="5" t="s">
        <v>17</v>
      </c>
      <c r="J24" s="6">
        <v>3</v>
      </c>
    </row>
    <row r="25" spans="1:10" x14ac:dyDescent="0.2">
      <c r="A25" s="5">
        <v>106</v>
      </c>
      <c r="B25" s="6">
        <v>150</v>
      </c>
      <c r="C25" s="6">
        <v>750</v>
      </c>
      <c r="F25" s="5" t="s">
        <v>18</v>
      </c>
      <c r="G25" s="6">
        <v>2</v>
      </c>
      <c r="I25" s="5" t="s">
        <v>18</v>
      </c>
      <c r="J25" s="6">
        <v>2</v>
      </c>
    </row>
    <row r="26" spans="1:10" x14ac:dyDescent="0.2">
      <c r="A26" s="5">
        <v>107</v>
      </c>
      <c r="B26" s="6">
        <v>640</v>
      </c>
      <c r="C26" s="6">
        <v>3200</v>
      </c>
      <c r="F26" s="5" t="s">
        <v>9</v>
      </c>
      <c r="G26" s="6">
        <v>3</v>
      </c>
      <c r="I26" s="5" t="s">
        <v>9</v>
      </c>
      <c r="J26" s="6">
        <v>3</v>
      </c>
    </row>
    <row r="27" spans="1:10" x14ac:dyDescent="0.2">
      <c r="A27" s="5">
        <v>108</v>
      </c>
      <c r="B27" s="6">
        <v>860</v>
      </c>
      <c r="C27" s="6">
        <v>27710</v>
      </c>
      <c r="F27" s="5" t="s">
        <v>14</v>
      </c>
      <c r="G27" s="6">
        <v>4</v>
      </c>
      <c r="I27" s="5" t="s">
        <v>14</v>
      </c>
      <c r="J27" s="6">
        <v>4</v>
      </c>
    </row>
    <row r="28" spans="1:10" x14ac:dyDescent="0.2">
      <c r="A28" s="5">
        <v>109</v>
      </c>
      <c r="B28" s="6">
        <v>1010</v>
      </c>
      <c r="C28" s="6">
        <v>33170</v>
      </c>
      <c r="F28" s="5" t="s">
        <v>16</v>
      </c>
      <c r="G28" s="6">
        <v>1</v>
      </c>
      <c r="I28" s="5" t="s">
        <v>16</v>
      </c>
      <c r="J28" s="6">
        <v>1</v>
      </c>
    </row>
    <row r="29" spans="1:10" x14ac:dyDescent="0.2">
      <c r="A29" s="5">
        <v>110</v>
      </c>
      <c r="B29" s="6">
        <v>570</v>
      </c>
      <c r="C29" s="6">
        <v>40160</v>
      </c>
      <c r="F29" s="5" t="s">
        <v>25</v>
      </c>
      <c r="G29" s="6">
        <v>4</v>
      </c>
      <c r="I29" s="5" t="s">
        <v>25</v>
      </c>
      <c r="J29" s="6">
        <v>4</v>
      </c>
    </row>
    <row r="30" spans="1:10" x14ac:dyDescent="0.2">
      <c r="A30" s="5">
        <v>111</v>
      </c>
      <c r="B30" s="6">
        <v>280</v>
      </c>
      <c r="C30" s="6">
        <v>6580</v>
      </c>
      <c r="F30" s="5" t="s">
        <v>26</v>
      </c>
      <c r="G30" s="6">
        <v>10</v>
      </c>
      <c r="I30" s="5" t="s">
        <v>26</v>
      </c>
      <c r="J30" s="6">
        <v>10</v>
      </c>
    </row>
    <row r="31" spans="1:10" x14ac:dyDescent="0.2">
      <c r="A31" s="5">
        <v>113</v>
      </c>
      <c r="B31" s="6">
        <v>100</v>
      </c>
      <c r="C31" s="6">
        <v>2500</v>
      </c>
      <c r="F31" s="5" t="s">
        <v>27</v>
      </c>
      <c r="G31" s="6">
        <v>16</v>
      </c>
      <c r="I31" s="5" t="s">
        <v>27</v>
      </c>
      <c r="J31" s="6">
        <v>16</v>
      </c>
    </row>
    <row r="32" spans="1:10" x14ac:dyDescent="0.2">
      <c r="A32" s="5">
        <v>114</v>
      </c>
      <c r="B32" s="6">
        <v>50</v>
      </c>
      <c r="C32" s="6">
        <v>1250</v>
      </c>
      <c r="F32" s="5" t="s">
        <v>22</v>
      </c>
      <c r="G32" s="6">
        <v>12</v>
      </c>
      <c r="I32" s="5" t="s">
        <v>22</v>
      </c>
      <c r="J32" s="6">
        <v>12</v>
      </c>
    </row>
    <row r="33" spans="1:10" x14ac:dyDescent="0.2">
      <c r="A33" s="5">
        <v>116</v>
      </c>
      <c r="B33" s="6">
        <v>60</v>
      </c>
      <c r="C33" s="6">
        <v>360</v>
      </c>
      <c r="F33" s="5" t="s">
        <v>40</v>
      </c>
      <c r="G33" s="6">
        <v>63</v>
      </c>
      <c r="I33" s="5" t="s">
        <v>40</v>
      </c>
      <c r="J33" s="6">
        <v>63</v>
      </c>
    </row>
    <row r="34" spans="1:10" x14ac:dyDescent="0.2">
      <c r="A34" s="5">
        <v>117</v>
      </c>
      <c r="B34" s="6">
        <v>160</v>
      </c>
      <c r="C34" s="6">
        <v>2880</v>
      </c>
    </row>
    <row r="35" spans="1:10" x14ac:dyDescent="0.2">
      <c r="A35" s="5">
        <v>118</v>
      </c>
      <c r="B35" s="6">
        <v>210</v>
      </c>
      <c r="C35" s="6">
        <v>3780</v>
      </c>
    </row>
    <row r="36" spans="1:10" x14ac:dyDescent="0.2">
      <c r="A36" s="5" t="s">
        <v>40</v>
      </c>
      <c r="B36" s="6">
        <v>9990</v>
      </c>
      <c r="C36" s="6">
        <v>190280</v>
      </c>
      <c r="E36" s="4" t="s">
        <v>36</v>
      </c>
      <c r="F36" t="s">
        <v>42</v>
      </c>
    </row>
    <row r="37" spans="1:10" x14ac:dyDescent="0.2">
      <c r="E37" s="5" t="s">
        <v>10</v>
      </c>
      <c r="F37" s="6">
        <v>42500</v>
      </c>
    </row>
    <row r="38" spans="1:10" x14ac:dyDescent="0.2">
      <c r="E38" s="5" t="s">
        <v>19</v>
      </c>
      <c r="F38" s="6">
        <v>43240</v>
      </c>
      <c r="H38" s="4" t="s">
        <v>36</v>
      </c>
      <c r="I38" t="s">
        <v>41</v>
      </c>
    </row>
    <row r="39" spans="1:10" x14ac:dyDescent="0.2">
      <c r="E39" s="5" t="s">
        <v>40</v>
      </c>
      <c r="F39" s="6">
        <v>85740</v>
      </c>
      <c r="H39" s="5">
        <v>114</v>
      </c>
      <c r="I39" s="6">
        <v>50</v>
      </c>
    </row>
    <row r="40" spans="1:10" x14ac:dyDescent="0.2">
      <c r="H40" s="5">
        <v>116</v>
      </c>
      <c r="I40" s="6">
        <v>60</v>
      </c>
    </row>
    <row r="41" spans="1:10" x14ac:dyDescent="0.2">
      <c r="H41" s="5">
        <v>113</v>
      </c>
      <c r="I41" s="6">
        <v>100</v>
      </c>
    </row>
    <row r="42" spans="1:10" x14ac:dyDescent="0.2">
      <c r="H42" s="5">
        <v>108</v>
      </c>
      <c r="I42" s="6">
        <v>110</v>
      </c>
    </row>
    <row r="43" spans="1:10" x14ac:dyDescent="0.2">
      <c r="H43" s="5">
        <v>102</v>
      </c>
      <c r="I43" s="6">
        <v>110</v>
      </c>
    </row>
    <row r="44" spans="1:10" x14ac:dyDescent="0.2">
      <c r="H44" s="5">
        <v>106</v>
      </c>
      <c r="I44" s="6">
        <v>150</v>
      </c>
    </row>
    <row r="45" spans="1:10" x14ac:dyDescent="0.2">
      <c r="H45" s="5">
        <v>117</v>
      </c>
      <c r="I45" s="6">
        <v>160</v>
      </c>
    </row>
    <row r="46" spans="1:10" x14ac:dyDescent="0.2">
      <c r="H46" s="5">
        <v>118</v>
      </c>
      <c r="I46" s="6">
        <v>210</v>
      </c>
    </row>
    <row r="47" spans="1:10" x14ac:dyDescent="0.2">
      <c r="H47" s="5">
        <v>101</v>
      </c>
      <c r="I47" s="6">
        <v>310</v>
      </c>
    </row>
    <row r="48" spans="1:10" x14ac:dyDescent="0.2">
      <c r="H48" s="5">
        <v>107</v>
      </c>
      <c r="I48" s="6">
        <v>640</v>
      </c>
    </row>
    <row r="49" spans="8:9" x14ac:dyDescent="0.2">
      <c r="H49" s="5">
        <v>105</v>
      </c>
      <c r="I49" s="6">
        <v>1430</v>
      </c>
    </row>
    <row r="50" spans="8:9" x14ac:dyDescent="0.2">
      <c r="H50" s="5">
        <v>103</v>
      </c>
      <c r="I50" s="6">
        <v>1720</v>
      </c>
    </row>
    <row r="51" spans="8:9" x14ac:dyDescent="0.2">
      <c r="H51" s="5">
        <v>104</v>
      </c>
      <c r="I51" s="6">
        <v>2330</v>
      </c>
    </row>
    <row r="52" spans="8:9" x14ac:dyDescent="0.2">
      <c r="H52" s="5" t="s">
        <v>40</v>
      </c>
      <c r="I52" s="6">
        <v>7380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37A29-54EF-4B8B-92C9-4EA821164BBF}">
  <dimension ref="A2:T3"/>
  <sheetViews>
    <sheetView showGridLines="0" workbookViewId="0">
      <selection activeCell="G27" sqref="G27"/>
    </sheetView>
  </sheetViews>
  <sheetFormatPr defaultColWidth="0" defaultRowHeight="12.75" x14ac:dyDescent="0.2"/>
  <cols>
    <col min="1" max="3" width="9.140625" customWidth="1"/>
    <col min="4" max="4" width="0.85546875" customWidth="1"/>
    <col min="5" max="6" width="16.85546875" bestFit="1" customWidth="1"/>
    <col min="7" max="20" width="9.140625" customWidth="1"/>
    <col min="21" max="16384" width="9.140625" hidden="1"/>
  </cols>
  <sheetData>
    <row r="2" spans="5:5" ht="17.25" customHeight="1" x14ac:dyDescent="0.2">
      <c r="E2" t="s">
        <v>47</v>
      </c>
    </row>
    <row r="3" spans="5:5" ht="23.25" customHeight="1" x14ac:dyDescent="0.2">
      <c r="E3" s="8">
        <v>85740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data</vt:lpstr>
      <vt:lpstr>correlation</vt:lpstr>
      <vt:lpstr>Proportion</vt:lpstr>
      <vt:lpstr>Sales trend</vt:lpstr>
      <vt:lpstr>PIvotChart</vt:lpstr>
      <vt:lpstr>Slicer &amp; PivotChart</vt:lpstr>
      <vt:lpstr>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OGUNDEPO EZEKIEL .A</dc:creator>
  <cp:lastModifiedBy>COMSAVVY</cp:lastModifiedBy>
  <dcterms:created xsi:type="dcterms:W3CDTF">2021-06-14T17:50:53Z</dcterms:created>
  <dcterms:modified xsi:type="dcterms:W3CDTF">2025-06-11T14:31:26Z</dcterms:modified>
</cp:coreProperties>
</file>