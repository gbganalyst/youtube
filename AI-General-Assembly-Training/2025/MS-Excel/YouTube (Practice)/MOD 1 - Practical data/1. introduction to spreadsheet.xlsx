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Module 1\"/>
    </mc:Choice>
  </mc:AlternateContent>
  <xr:revisionPtr revIDLastSave="0" documentId="13_ncr:1_{9483B308-C5E5-4C92-A657-74C17A6775E9}" xr6:coauthVersionLast="47" xr6:coauthVersionMax="47" xr10:uidLastSave="{00000000-0000-0000-0000-000000000000}"/>
  <bookViews>
    <workbookView xWindow="-120" yWindow="-120" windowWidth="20730" windowHeight="11760" activeTab="2" xr2:uid="{16CCEDE8-3FA0-4DAB-8ADA-63676193182B}"/>
  </bookViews>
  <sheets>
    <sheet name="Student record" sheetId="1" r:id="rId1"/>
    <sheet name="Sheet2" sheetId="2" r:id="rId2"/>
    <sheet name="Sheet3" sheetId="3" r:id="rId3"/>
  </sheets>
  <definedNames>
    <definedName name="_xlnm._FilterDatabase" localSheetId="2" hidden="1">Sheet3!$A$4:$F$14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</calcChain>
</file>

<file path=xl/sharedStrings.xml><?xml version="1.0" encoding="utf-8"?>
<sst xmlns="http://schemas.openxmlformats.org/spreadsheetml/2006/main" count="59" uniqueCount="53">
  <si>
    <t>Student Name</t>
  </si>
  <si>
    <t>No</t>
  </si>
  <si>
    <t>Matric number</t>
  </si>
  <si>
    <t>Age</t>
  </si>
  <si>
    <t>CGPA</t>
  </si>
  <si>
    <t>Tolulope Emmanuel</t>
  </si>
  <si>
    <t>Tolulope Emmanuel 1</t>
  </si>
  <si>
    <t>Tolulope Emmanuel 2</t>
  </si>
  <si>
    <t>Tolulope Emmanuel 3</t>
  </si>
  <si>
    <t>Tolulope Emmanuel 4</t>
  </si>
  <si>
    <t>Tolulope Emmanuel 5</t>
  </si>
  <si>
    <t>Tolulope Emmanuel 6</t>
  </si>
  <si>
    <t>Tolulope Emmanuel 7</t>
  </si>
  <si>
    <t>Tolulope Emmanuel 8</t>
  </si>
  <si>
    <t>Tolulope Emmanuel 9</t>
  </si>
  <si>
    <t>ieeh/23/11</t>
  </si>
  <si>
    <t>ieeh/23/12</t>
  </si>
  <si>
    <t>ieeh/23/13</t>
  </si>
  <si>
    <t>ieeh/23/14</t>
  </si>
  <si>
    <t>ieeh/23/15</t>
  </si>
  <si>
    <t>ieeh/23/16</t>
  </si>
  <si>
    <t>ieeh/23/17</t>
  </si>
  <si>
    <t>ieeh/23/18</t>
  </si>
  <si>
    <t>ieeh/23/19</t>
  </si>
  <si>
    <t>ieeh/23/20</t>
  </si>
  <si>
    <t>LastDayInSch</t>
  </si>
  <si>
    <t>Class A</t>
  </si>
  <si>
    <t>Class B</t>
  </si>
  <si>
    <t>Diff</t>
  </si>
  <si>
    <t>Addition</t>
  </si>
  <si>
    <t>Multiplication</t>
  </si>
  <si>
    <t>Division</t>
  </si>
  <si>
    <t>Serial no</t>
  </si>
  <si>
    <t>Surname</t>
  </si>
  <si>
    <t>First name</t>
  </si>
  <si>
    <t>Resumption date</t>
  </si>
  <si>
    <t>Graduating date</t>
  </si>
  <si>
    <t>Student fullname</t>
  </si>
  <si>
    <t>Balance</t>
  </si>
  <si>
    <t>Chukwudi</t>
  </si>
  <si>
    <t>Tola</t>
  </si>
  <si>
    <t>26/08/2025</t>
  </si>
  <si>
    <t>Chukwudi Tola</t>
  </si>
  <si>
    <t>Obadere</t>
  </si>
  <si>
    <t>Sola</t>
  </si>
  <si>
    <t>21-09-2025</t>
  </si>
  <si>
    <t>Obadere Sola</t>
  </si>
  <si>
    <t>Emmanuel</t>
  </si>
  <si>
    <t>Ezekiel</t>
  </si>
  <si>
    <t>Emmanuel Ezekiel</t>
  </si>
  <si>
    <t>Chindinma</t>
  </si>
  <si>
    <t>Michael</t>
  </si>
  <si>
    <t>Chindinma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</si>
</sst>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-409]d\-mmm\-yyyy;@"/>
    <numFmt numFmtId="165" formatCode="0.000"/>
    <numFmt numFmtId="166" formatCode="0.0000"/>
    <numFmt numFmtId="167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3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1"/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167" fontId="0" fillId="0" borderId="0" xfId="2" applyNumberFormat="1" applyFont="1"/>
  </cellXfs>
  <cellStyles count="3">
    <cellStyle name="Accent5" xfId="1" builtinId="45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ED27-FDE8-480C-B8E9-751E53E04333}">
  <dimension ref="A2:N12"/>
  <sheetViews>
    <sheetView topLeftCell="H1" zoomScale="145" zoomScaleNormal="145" workbookViewId="0">
      <selection activeCell="G13" sqref="G13"/>
    </sheetView>
  </sheetViews>
  <sheetFormatPr defaultRowHeight="15" x14ac:dyDescent="0.25"/>
  <cols>
    <col min="1" max="1" width="3.5703125" bestFit="1" customWidth="1"/>
    <col min="2" max="2" width="20.42578125" bestFit="1" customWidth="1"/>
    <col min="3" max="3" width="16.28515625" customWidth="1"/>
    <col min="4" max="4" width="19" customWidth="1"/>
    <col min="5" max="5" width="8.7109375" customWidth="1"/>
    <col min="6" max="6" width="7.5703125" customWidth="1"/>
    <col min="9" max="9" width="12.85546875" bestFit="1" customWidth="1"/>
    <col min="10" max="10" width="7" bestFit="1" customWidth="1"/>
    <col min="11" max="12" width="12.85546875" bestFit="1" customWidth="1"/>
    <col min="13" max="13" width="13.5703125" bestFit="1" customWidth="1"/>
    <col min="14" max="14" width="12.85546875" bestFit="1" customWidth="1"/>
  </cols>
  <sheetData>
    <row r="2" spans="1:14" x14ac:dyDescent="0.25">
      <c r="A2" s="3" t="s">
        <v>1</v>
      </c>
      <c r="B2" s="3" t="s">
        <v>0</v>
      </c>
      <c r="C2" s="3" t="s">
        <v>2</v>
      </c>
      <c r="D2" s="3" t="s">
        <v>25</v>
      </c>
      <c r="E2" s="3" t="s">
        <v>3</v>
      </c>
      <c r="F2" s="3" t="s">
        <v>4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</row>
    <row r="3" spans="1:14" x14ac:dyDescent="0.25">
      <c r="A3">
        <v>1</v>
      </c>
      <c r="B3" s="4" t="s">
        <v>5</v>
      </c>
      <c r="C3" s="5" t="s">
        <v>15</v>
      </c>
      <c r="D3" s="2">
        <v>43498</v>
      </c>
      <c r="E3" s="7">
        <v>18</v>
      </c>
      <c r="F3">
        <v>4</v>
      </c>
      <c r="I3">
        <v>12</v>
      </c>
      <c r="J3">
        <v>11</v>
      </c>
      <c r="K3">
        <f>I3-J3</f>
        <v>1</v>
      </c>
      <c r="L3">
        <f>I3+J3</f>
        <v>23</v>
      </c>
      <c r="M3">
        <f>I3*J3</f>
        <v>132</v>
      </c>
      <c r="N3">
        <f>I3/J3</f>
        <v>1.0909090909090908</v>
      </c>
    </row>
    <row r="4" spans="1:14" x14ac:dyDescent="0.25">
      <c r="A4">
        <v>2</v>
      </c>
      <c r="B4" s="4" t="s">
        <v>6</v>
      </c>
      <c r="C4" s="5" t="s">
        <v>16</v>
      </c>
      <c r="D4" s="2">
        <v>43852</v>
      </c>
      <c r="E4" s="7">
        <v>23</v>
      </c>
      <c r="F4">
        <v>2.9</v>
      </c>
      <c r="I4">
        <v>23</v>
      </c>
      <c r="J4">
        <v>21</v>
      </c>
      <c r="K4">
        <f t="shared" ref="K4:K12" si="0">I4-J4</f>
        <v>2</v>
      </c>
      <c r="L4">
        <f t="shared" ref="L4:L12" si="1">I4+J4</f>
        <v>44</v>
      </c>
      <c r="M4">
        <f t="shared" ref="M4:M12" si="2">I4*J4</f>
        <v>483</v>
      </c>
      <c r="N4">
        <f t="shared" ref="N4:N12" si="3">I4/J4</f>
        <v>1.0952380952380953</v>
      </c>
    </row>
    <row r="5" spans="1:14" x14ac:dyDescent="0.25">
      <c r="A5">
        <v>3</v>
      </c>
      <c r="B5" s="4" t="s">
        <v>7</v>
      </c>
      <c r="C5" s="5" t="s">
        <v>17</v>
      </c>
      <c r="D5" s="2">
        <v>44966</v>
      </c>
      <c r="E5" s="7">
        <v>23</v>
      </c>
      <c r="F5">
        <v>3.9</v>
      </c>
      <c r="H5" s="9"/>
      <c r="I5">
        <v>212</v>
      </c>
      <c r="J5">
        <v>37</v>
      </c>
      <c r="K5">
        <f t="shared" si="0"/>
        <v>175</v>
      </c>
      <c r="L5">
        <f t="shared" si="1"/>
        <v>249</v>
      </c>
      <c r="M5">
        <f t="shared" si="2"/>
        <v>7844</v>
      </c>
      <c r="N5">
        <f t="shared" si="3"/>
        <v>5.7297297297297298</v>
      </c>
    </row>
    <row r="6" spans="1:14" x14ac:dyDescent="0.25">
      <c r="A6">
        <v>4</v>
      </c>
      <c r="B6" s="4" t="s">
        <v>8</v>
      </c>
      <c r="C6" s="5" t="s">
        <v>18</v>
      </c>
      <c r="D6" s="2">
        <v>44380</v>
      </c>
      <c r="E6" s="7">
        <v>21</v>
      </c>
      <c r="F6">
        <v>3.5</v>
      </c>
      <c r="I6">
        <v>282.33333333333297</v>
      </c>
      <c r="J6">
        <v>49</v>
      </c>
      <c r="K6">
        <f t="shared" si="0"/>
        <v>233.33333333333297</v>
      </c>
      <c r="L6">
        <f t="shared" si="1"/>
        <v>331.33333333333297</v>
      </c>
      <c r="M6">
        <f t="shared" si="2"/>
        <v>13834.333333333316</v>
      </c>
      <c r="N6">
        <f t="shared" si="3"/>
        <v>5.7619047619047548</v>
      </c>
    </row>
    <row r="7" spans="1:14" x14ac:dyDescent="0.25">
      <c r="A7">
        <v>5</v>
      </c>
      <c r="B7" s="4" t="s">
        <v>9</v>
      </c>
      <c r="C7" s="5" t="s">
        <v>19</v>
      </c>
      <c r="D7" s="2">
        <v>43498</v>
      </c>
      <c r="E7" s="7">
        <v>22</v>
      </c>
      <c r="F7">
        <v>3.45</v>
      </c>
      <c r="H7" s="7"/>
      <c r="I7">
        <v>382.33333333333297</v>
      </c>
      <c r="J7">
        <v>62</v>
      </c>
      <c r="K7">
        <f t="shared" si="0"/>
        <v>320.33333333333297</v>
      </c>
      <c r="L7">
        <f t="shared" si="1"/>
        <v>444.33333333333297</v>
      </c>
      <c r="M7">
        <f t="shared" si="2"/>
        <v>23704.666666666646</v>
      </c>
      <c r="N7">
        <f t="shared" si="3"/>
        <v>6.1666666666666607</v>
      </c>
    </row>
    <row r="8" spans="1:14" x14ac:dyDescent="0.25">
      <c r="A8">
        <v>6</v>
      </c>
      <c r="B8" s="4" t="s">
        <v>10</v>
      </c>
      <c r="C8" s="5" t="s">
        <v>20</v>
      </c>
      <c r="D8" s="2">
        <v>43852</v>
      </c>
      <c r="E8" s="7">
        <v>24</v>
      </c>
      <c r="F8">
        <v>3.4</v>
      </c>
      <c r="H8" s="8"/>
      <c r="I8">
        <v>482.33333333333297</v>
      </c>
      <c r="J8">
        <v>75</v>
      </c>
      <c r="K8">
        <f t="shared" si="0"/>
        <v>407.33333333333297</v>
      </c>
      <c r="L8">
        <f t="shared" si="1"/>
        <v>557.33333333333303</v>
      </c>
      <c r="M8">
        <f t="shared" si="2"/>
        <v>36174.999999999971</v>
      </c>
      <c r="N8">
        <f t="shared" si="3"/>
        <v>6.4311111111111066</v>
      </c>
    </row>
    <row r="9" spans="1:14" x14ac:dyDescent="0.25">
      <c r="A9">
        <v>7</v>
      </c>
      <c r="B9" s="4" t="s">
        <v>11</v>
      </c>
      <c r="C9" s="5" t="s">
        <v>21</v>
      </c>
      <c r="D9" s="2">
        <v>44966</v>
      </c>
      <c r="E9" s="7">
        <v>19</v>
      </c>
      <c r="F9">
        <v>3.35</v>
      </c>
      <c r="I9">
        <v>582.33333333333303</v>
      </c>
      <c r="J9">
        <v>88</v>
      </c>
      <c r="K9">
        <f t="shared" si="0"/>
        <v>494.33333333333303</v>
      </c>
      <c r="L9">
        <f t="shared" si="1"/>
        <v>670.33333333333303</v>
      </c>
      <c r="M9">
        <f t="shared" si="2"/>
        <v>51245.333333333307</v>
      </c>
      <c r="N9">
        <f t="shared" si="3"/>
        <v>6.6174242424242387</v>
      </c>
    </row>
    <row r="10" spans="1:14" x14ac:dyDescent="0.25">
      <c r="A10">
        <v>8</v>
      </c>
      <c r="B10" s="4" t="s">
        <v>12</v>
      </c>
      <c r="C10" s="5" t="s">
        <v>22</v>
      </c>
      <c r="D10" s="2">
        <v>44380</v>
      </c>
      <c r="E10" s="7">
        <v>20</v>
      </c>
      <c r="F10">
        <v>3.3</v>
      </c>
      <c r="I10">
        <v>682.33333333333303</v>
      </c>
      <c r="J10">
        <v>101</v>
      </c>
      <c r="K10">
        <f t="shared" si="0"/>
        <v>581.33333333333303</v>
      </c>
      <c r="L10">
        <f t="shared" si="1"/>
        <v>783.33333333333303</v>
      </c>
      <c r="M10">
        <f t="shared" si="2"/>
        <v>68915.666666666642</v>
      </c>
      <c r="N10">
        <f t="shared" si="3"/>
        <v>6.7557755775577526</v>
      </c>
    </row>
    <row r="11" spans="1:14" x14ac:dyDescent="0.25">
      <c r="A11">
        <v>9</v>
      </c>
      <c r="B11" s="4" t="s">
        <v>13</v>
      </c>
      <c r="C11" s="5" t="s">
        <v>23</v>
      </c>
      <c r="D11" s="2">
        <v>43498</v>
      </c>
      <c r="E11" s="7">
        <v>21</v>
      </c>
      <c r="F11">
        <v>3.25</v>
      </c>
      <c r="I11">
        <v>782.33333333333303</v>
      </c>
      <c r="J11">
        <v>114</v>
      </c>
      <c r="K11">
        <f t="shared" si="0"/>
        <v>668.33333333333303</v>
      </c>
      <c r="L11">
        <f t="shared" si="1"/>
        <v>896.33333333333303</v>
      </c>
      <c r="M11">
        <f t="shared" si="2"/>
        <v>89185.999999999971</v>
      </c>
      <c r="N11">
        <f t="shared" si="3"/>
        <v>6.8625730994152017</v>
      </c>
    </row>
    <row r="12" spans="1:14" x14ac:dyDescent="0.25">
      <c r="A12">
        <v>10</v>
      </c>
      <c r="B12" s="4" t="s">
        <v>14</v>
      </c>
      <c r="C12" s="5" t="s">
        <v>24</v>
      </c>
      <c r="D12" s="2">
        <v>43852</v>
      </c>
      <c r="E12" s="7">
        <v>19</v>
      </c>
      <c r="F12">
        <v>3.2</v>
      </c>
      <c r="I12">
        <v>882.33333333333303</v>
      </c>
      <c r="J12">
        <v>127</v>
      </c>
      <c r="K12">
        <f t="shared" si="0"/>
        <v>755.33333333333303</v>
      </c>
      <c r="L12">
        <f t="shared" si="1"/>
        <v>1009.333333333333</v>
      </c>
      <c r="M12">
        <f t="shared" si="2"/>
        <v>112056.3333333333</v>
      </c>
      <c r="N12">
        <f t="shared" si="3"/>
        <v>6.9475065616797878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C260-B954-44DC-B6BF-87368D8C1484}">
  <dimension ref="A2:I13"/>
  <sheetViews>
    <sheetView zoomScale="130" zoomScaleNormal="130" workbookViewId="0">
      <selection activeCell="F13" sqref="F13"/>
    </sheetView>
  </sheetViews>
  <sheetFormatPr defaultRowHeight="15" x14ac:dyDescent="0.25"/>
  <cols>
    <col min="1" max="1" width="8.7109375" bestFit="1" customWidth="1"/>
    <col min="2" max="3" width="10.5703125" bestFit="1" customWidth="1"/>
    <col min="4" max="4" width="14.140625" bestFit="1" customWidth="1"/>
    <col min="5" max="5" width="4.42578125" bestFit="1" customWidth="1"/>
    <col min="6" max="6" width="16.28515625" bestFit="1" customWidth="1"/>
    <col min="7" max="7" width="15.28515625" bestFit="1" customWidth="1"/>
    <col min="8" max="8" width="18.28515625" bestFit="1" customWidth="1"/>
    <col min="9" max="9" width="9.42578125" bestFit="1" customWidth="1"/>
  </cols>
  <sheetData>
    <row r="2" spans="1:9" x14ac:dyDescent="0.25">
      <c r="A2" s="3" t="s">
        <v>32</v>
      </c>
      <c r="B2" s="3" t="s">
        <v>33</v>
      </c>
      <c r="C2" s="3" t="s">
        <v>34</v>
      </c>
      <c r="D2" s="3" t="s">
        <v>2</v>
      </c>
      <c r="E2" s="3" t="s">
        <v>3</v>
      </c>
      <c r="F2" s="3" t="s">
        <v>35</v>
      </c>
      <c r="G2" s="3" t="s">
        <v>36</v>
      </c>
      <c r="H2" s="3" t="s">
        <v>37</v>
      </c>
      <c r="I2" s="3" t="s">
        <v>38</v>
      </c>
    </row>
    <row r="3" spans="1:9" x14ac:dyDescent="0.25">
      <c r="A3">
        <v>1</v>
      </c>
      <c r="B3" s="10" t="s">
        <v>39</v>
      </c>
      <c r="C3" t="s">
        <v>40</v>
      </c>
      <c r="D3">
        <v>12332</v>
      </c>
      <c r="E3">
        <v>19</v>
      </c>
      <c r="F3" s="11">
        <v>43883</v>
      </c>
      <c r="G3" s="12" t="s">
        <v>41</v>
      </c>
      <c r="H3" t="s">
        <v>42</v>
      </c>
      <c r="I3" s="13">
        <v>22229</v>
      </c>
    </row>
    <row r="4" spans="1:9" x14ac:dyDescent="0.25">
      <c r="A4">
        <v>2</v>
      </c>
      <c r="B4" s="10" t="s">
        <v>43</v>
      </c>
      <c r="C4" t="s">
        <v>44</v>
      </c>
      <c r="D4">
        <v>32523</v>
      </c>
      <c r="E4">
        <v>22</v>
      </c>
      <c r="F4" s="11">
        <v>43512</v>
      </c>
      <c r="G4" s="12" t="s">
        <v>45</v>
      </c>
      <c r="H4" t="s">
        <v>46</v>
      </c>
      <c r="I4" s="13">
        <v>800</v>
      </c>
    </row>
    <row r="5" spans="1:9" x14ac:dyDescent="0.25">
      <c r="A5">
        <v>3</v>
      </c>
      <c r="B5" s="10" t="s">
        <v>47</v>
      </c>
      <c r="C5" t="s">
        <v>48</v>
      </c>
      <c r="D5">
        <v>5673</v>
      </c>
      <c r="E5">
        <v>21</v>
      </c>
      <c r="F5" s="11">
        <v>43597</v>
      </c>
      <c r="G5" s="12">
        <v>45700</v>
      </c>
      <c r="H5" t="s">
        <v>49</v>
      </c>
      <c r="I5" s="13">
        <v>12000</v>
      </c>
    </row>
    <row r="6" spans="1:9" x14ac:dyDescent="0.25">
      <c r="A6">
        <v>4</v>
      </c>
      <c r="B6" s="10" t="s">
        <v>50</v>
      </c>
      <c r="C6" t="s">
        <v>51</v>
      </c>
      <c r="D6">
        <v>1297</v>
      </c>
      <c r="E6">
        <v>20</v>
      </c>
      <c r="F6" s="11">
        <v>43178</v>
      </c>
      <c r="G6" s="12">
        <v>46062</v>
      </c>
      <c r="H6" t="s">
        <v>52</v>
      </c>
      <c r="I6" s="13">
        <v>7318</v>
      </c>
    </row>
    <row r="12" spans="1:9" x14ac:dyDescent="0.25">
      <c r="C12" s="3" t="s">
        <v>47</v>
      </c>
      <c r="D12" s="3" t="s">
        <v>48</v>
      </c>
    </row>
    <row r="13" spans="1:9" x14ac:dyDescent="0.25">
      <c r="C13" s="3" t="s">
        <v>50</v>
      </c>
      <c r="D13" s="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FBBA-8477-4A21-A460-1769E23DE307}">
  <dimension ref="C1:G29"/>
  <sheetViews>
    <sheetView tabSelected="1" zoomScaleNormal="100" workbookViewId="0">
      <selection activeCell="D15" sqref="D15"/>
    </sheetView>
  </sheetViews>
  <sheetFormatPr defaultRowHeight="15" x14ac:dyDescent="0.25"/>
  <cols>
    <col min="2" max="2" width="31.140625" customWidth="1"/>
    <col min="3" max="3" width="25.7109375" customWidth="1"/>
    <col min="4" max="5" width="20.42578125" bestFit="1" customWidth="1"/>
    <col min="6" max="6" width="13.28515625" customWidth="1"/>
    <col min="7" max="7" width="19" bestFit="1" customWidth="1"/>
    <col min="13" max="13" width="13.5703125" bestFit="1" customWidth="1"/>
    <col min="22" max="22" width="21" bestFit="1" customWidth="1"/>
    <col min="23" max="23" width="24.7109375" customWidth="1"/>
    <col min="24" max="24" width="21" bestFit="1" customWidth="1"/>
  </cols>
  <sheetData>
    <row r="1" spans="4:4" ht="15" customHeight="1" x14ac:dyDescent="0.25"/>
    <row r="2" spans="4:4" ht="15" customHeight="1" x14ac:dyDescent="0.25"/>
    <row r="15" spans="4:4" x14ac:dyDescent="0.25">
      <c r="D15" s="2"/>
    </row>
    <row r="16" spans="4:4" x14ac:dyDescent="0.25">
      <c r="D16" s="2"/>
    </row>
    <row r="18" spans="3:7" x14ac:dyDescent="0.25">
      <c r="C18" s="6"/>
      <c r="D18" s="6"/>
      <c r="E18" s="1"/>
      <c r="G18" s="1"/>
    </row>
    <row r="19" spans="3:7" x14ac:dyDescent="0.25">
      <c r="C19" s="6"/>
      <c r="D19" s="6"/>
      <c r="E19" s="1"/>
      <c r="G19" s="1"/>
    </row>
    <row r="20" spans="3:7" x14ac:dyDescent="0.25">
      <c r="C20" s="6"/>
      <c r="D20" s="6"/>
      <c r="E20" s="1"/>
      <c r="G20" s="1"/>
    </row>
    <row r="21" spans="3:7" x14ac:dyDescent="0.25">
      <c r="C21" s="6"/>
      <c r="D21" s="6"/>
      <c r="E21" s="1"/>
      <c r="G21" s="1"/>
    </row>
    <row r="22" spans="3:7" x14ac:dyDescent="0.25">
      <c r="C22" s="6"/>
      <c r="D22" s="6"/>
      <c r="E22" s="1"/>
      <c r="G22" s="1"/>
    </row>
    <row r="23" spans="3:7" x14ac:dyDescent="0.25">
      <c r="C23" s="6"/>
      <c r="D23" s="6"/>
      <c r="E23" s="1"/>
      <c r="G23" s="1"/>
    </row>
    <row r="24" spans="3:7" x14ac:dyDescent="0.25">
      <c r="C24" s="6"/>
      <c r="D24" s="6"/>
    </row>
    <row r="25" spans="3:7" x14ac:dyDescent="0.25">
      <c r="C25" s="6"/>
      <c r="D25" s="6"/>
    </row>
    <row r="26" spans="3:7" x14ac:dyDescent="0.25">
      <c r="C26" s="6"/>
      <c r="D26" s="6"/>
    </row>
    <row r="27" spans="3:7" x14ac:dyDescent="0.25">
      <c r="C27" s="6"/>
      <c r="D27" s="6"/>
    </row>
    <row r="28" spans="3:7" x14ac:dyDescent="0.25">
      <c r="C28" s="6"/>
      <c r="D28" s="6"/>
    </row>
    <row r="29" spans="3:7" x14ac:dyDescent="0.25">
      <c r="C29" s="6"/>
      <c r="D29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record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COMSAVVY</dc:creator>
  <cp:lastModifiedBy>COMSAVVY</cp:lastModifiedBy>
  <dcterms:created xsi:type="dcterms:W3CDTF">2025-03-17T12:41:47Z</dcterms:created>
  <dcterms:modified xsi:type="dcterms:W3CDTF">2025-06-27T11:08:14Z</dcterms:modified>
</cp:coreProperties>
</file>